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 Scientist\Desktop\HPC_\2025_\Preparedness_\"/>
    </mc:Choice>
  </mc:AlternateContent>
  <xr:revisionPtr revIDLastSave="0" documentId="13_ncr:1_{ED2EE1FE-AD0B-4C3A-A063-853FD7382ED1}" xr6:coauthVersionLast="47" xr6:coauthVersionMax="47" xr10:uidLastSave="{00000000-0000-0000-0000-000000000000}"/>
  <bookViews>
    <workbookView xWindow="-120" yWindow="-120" windowWidth="29040" windowHeight="15720" xr2:uid="{D3F373FC-5972-47C6-9412-58D17BB81A8F}"/>
  </bookViews>
  <sheets>
    <sheet name="theData" sheetId="1" r:id="rId1"/>
  </sheets>
  <definedNames>
    <definedName name="_xlnm._FilterDatabase" localSheetId="0" hidden="1">theData!$A$2:$X$2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" i="1" l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4" i="1"/>
</calcChain>
</file>

<file path=xl/sharedStrings.xml><?xml version="1.0" encoding="utf-8"?>
<sst xmlns="http://schemas.openxmlformats.org/spreadsheetml/2006/main" count="314" uniqueCount="190">
  <si>
    <t>LGA</t>
  </si>
  <si>
    <t>Adamawa</t>
  </si>
  <si>
    <t>NG002</t>
  </si>
  <si>
    <t>Demsa</t>
  </si>
  <si>
    <t>NG002001</t>
  </si>
  <si>
    <t>Fufore</t>
  </si>
  <si>
    <t>NG002002</t>
  </si>
  <si>
    <t>Ganye</t>
  </si>
  <si>
    <t>NG002003</t>
  </si>
  <si>
    <t>Girei</t>
  </si>
  <si>
    <t>NG002004</t>
  </si>
  <si>
    <t>Gombi</t>
  </si>
  <si>
    <t>NG002005</t>
  </si>
  <si>
    <t>Guyuk</t>
  </si>
  <si>
    <t>NG002006</t>
  </si>
  <si>
    <t>Hong</t>
  </si>
  <si>
    <t>NG002007</t>
  </si>
  <si>
    <t>Jada</t>
  </si>
  <si>
    <t>NG002008</t>
  </si>
  <si>
    <t>Lamurde</t>
  </si>
  <si>
    <t>NG002009</t>
  </si>
  <si>
    <t>Madagali</t>
  </si>
  <si>
    <t>NG002010</t>
  </si>
  <si>
    <t>Maiha</t>
  </si>
  <si>
    <t>NG002011</t>
  </si>
  <si>
    <t>Mayo-Belwa</t>
  </si>
  <si>
    <t>NG002012</t>
  </si>
  <si>
    <t>Michika</t>
  </si>
  <si>
    <t>NG002013</t>
  </si>
  <si>
    <t>Mubi North</t>
  </si>
  <si>
    <t>NG002014</t>
  </si>
  <si>
    <t>Mubi South</t>
  </si>
  <si>
    <t>NG002015</t>
  </si>
  <si>
    <t>Numan</t>
  </si>
  <si>
    <t>NG002016</t>
  </si>
  <si>
    <t>Shelleng</t>
  </si>
  <si>
    <t>NG002017</t>
  </si>
  <si>
    <t>Song</t>
  </si>
  <si>
    <t>NG002018</t>
  </si>
  <si>
    <t>Toungo</t>
  </si>
  <si>
    <t>NG002019</t>
  </si>
  <si>
    <t>Yola North</t>
  </si>
  <si>
    <t>NG002020</t>
  </si>
  <si>
    <t>Yola South</t>
  </si>
  <si>
    <t>NG002021</t>
  </si>
  <si>
    <t>Borno</t>
  </si>
  <si>
    <t>NG008</t>
  </si>
  <si>
    <t>Abadam</t>
  </si>
  <si>
    <t>NG008001</t>
  </si>
  <si>
    <t>Askira/Uba</t>
  </si>
  <si>
    <t>NG008002</t>
  </si>
  <si>
    <t>Bama</t>
  </si>
  <si>
    <t>NG008003</t>
  </si>
  <si>
    <t>Bayo</t>
  </si>
  <si>
    <t>NG008004</t>
  </si>
  <si>
    <t>Biu</t>
  </si>
  <si>
    <t>NG008005</t>
  </si>
  <si>
    <t>Chibok</t>
  </si>
  <si>
    <t>NG008006</t>
  </si>
  <si>
    <t>Damboa</t>
  </si>
  <si>
    <t>NG008007</t>
  </si>
  <si>
    <t>Dikwa</t>
  </si>
  <si>
    <t>NG008008</t>
  </si>
  <si>
    <t>Gubio</t>
  </si>
  <si>
    <t>NG008009</t>
  </si>
  <si>
    <t>Guzamala</t>
  </si>
  <si>
    <t>NG008010</t>
  </si>
  <si>
    <t>Gwoza</t>
  </si>
  <si>
    <t>NG008011</t>
  </si>
  <si>
    <t>Hawul</t>
  </si>
  <si>
    <t>NG008012</t>
  </si>
  <si>
    <t>Jere</t>
  </si>
  <si>
    <t>NG008013</t>
  </si>
  <si>
    <t>Kaga</t>
  </si>
  <si>
    <t>NG008014</t>
  </si>
  <si>
    <t>Kala/Balge</t>
  </si>
  <si>
    <t>NG008015</t>
  </si>
  <si>
    <t>Konduga</t>
  </si>
  <si>
    <t>NG008016</t>
  </si>
  <si>
    <t>Kukawa</t>
  </si>
  <si>
    <t>NG008017</t>
  </si>
  <si>
    <t>Kwaya Kusar</t>
  </si>
  <si>
    <t>NG008018</t>
  </si>
  <si>
    <t>Mafa</t>
  </si>
  <si>
    <t>NG008019</t>
  </si>
  <si>
    <t>Magumeri</t>
  </si>
  <si>
    <t>NG008020</t>
  </si>
  <si>
    <t>Maiduguri</t>
  </si>
  <si>
    <t>NG008021</t>
  </si>
  <si>
    <t>Marte</t>
  </si>
  <si>
    <t>NG008022</t>
  </si>
  <si>
    <t>Mobbar</t>
  </si>
  <si>
    <t>NG008023</t>
  </si>
  <si>
    <t>Monguno</t>
  </si>
  <si>
    <t>NG008024</t>
  </si>
  <si>
    <t>Ngala</t>
  </si>
  <si>
    <t>NG008025</t>
  </si>
  <si>
    <t>Nganzai</t>
  </si>
  <si>
    <t>NG008026</t>
  </si>
  <si>
    <t>Shani</t>
  </si>
  <si>
    <t>NG008027</t>
  </si>
  <si>
    <t>Yobe</t>
  </si>
  <si>
    <t>NG036</t>
  </si>
  <si>
    <t>Bade</t>
  </si>
  <si>
    <t>NG036001</t>
  </si>
  <si>
    <t>Bursari</t>
  </si>
  <si>
    <t>NG036002</t>
  </si>
  <si>
    <t>Damaturu</t>
  </si>
  <si>
    <t>NG036003</t>
  </si>
  <si>
    <t>Fika</t>
  </si>
  <si>
    <t>NG036004</t>
  </si>
  <si>
    <t>Fune</t>
  </si>
  <si>
    <t>NG036005</t>
  </si>
  <si>
    <t>Geidam</t>
  </si>
  <si>
    <t>NG036006</t>
  </si>
  <si>
    <t>Gujba</t>
  </si>
  <si>
    <t>NG036007</t>
  </si>
  <si>
    <t>Gulani</t>
  </si>
  <si>
    <t>NG036008</t>
  </si>
  <si>
    <t>Jakusko</t>
  </si>
  <si>
    <t>NG036009</t>
  </si>
  <si>
    <t>Karasuwa</t>
  </si>
  <si>
    <t>NG036010</t>
  </si>
  <si>
    <t>Machina</t>
  </si>
  <si>
    <t>NG036011</t>
  </si>
  <si>
    <t>Nangere</t>
  </si>
  <si>
    <t>NG036012</t>
  </si>
  <si>
    <t>Nguru</t>
  </si>
  <si>
    <t>NG036013</t>
  </si>
  <si>
    <t>Potiskum</t>
  </si>
  <si>
    <t>NG036014</t>
  </si>
  <si>
    <t>Tarmua</t>
  </si>
  <si>
    <t>NG036015</t>
  </si>
  <si>
    <t>Yunusari</t>
  </si>
  <si>
    <t>NG036016</t>
  </si>
  <si>
    <t>Yusufari</t>
  </si>
  <si>
    <t>NG036017</t>
  </si>
  <si>
    <t>LOCATIONS</t>
  </si>
  <si>
    <t>IDPS</t>
  </si>
  <si>
    <t>RETURNEES</t>
  </si>
  <si>
    <t>HOST COMMUNITY</t>
  </si>
  <si>
    <t>STATE</t>
  </si>
  <si>
    <t>STATE PCODE</t>
  </si>
  <si>
    <t>PCODE</t>
  </si>
  <si>
    <t>IDPS GIRLS</t>
  </si>
  <si>
    <t>IDPS BOYS</t>
  </si>
  <si>
    <t>IDPS WOMEN</t>
  </si>
  <si>
    <t>IDPS MEN</t>
  </si>
  <si>
    <t>IDPS ELDERLY WOMEN</t>
  </si>
  <si>
    <t>IDPS ELDERLY MEN</t>
  </si>
  <si>
    <t>RETURNEES GIRLS</t>
  </si>
  <si>
    <t>RETURNEES BOYS</t>
  </si>
  <si>
    <t>RETURNEES WOMEN</t>
  </si>
  <si>
    <t>RETURNEES MEN</t>
  </si>
  <si>
    <t>RETURNEES ELDERLY WOMEN</t>
  </si>
  <si>
    <t>RETURNEES ELDERLY MEN</t>
  </si>
  <si>
    <t>HOST COMMUNITIES GIRLS</t>
  </si>
  <si>
    <t>HOST COMMUNITIES BOYS</t>
  </si>
  <si>
    <t>HOST COMMUNITIES WOMEN</t>
  </si>
  <si>
    <t>HOST COMMUNITIES MEN</t>
  </si>
  <si>
    <t>HOST COMMUNITIES ELDERLY WOMEN</t>
  </si>
  <si>
    <t>HOST COMMUNITIES ELDERLY MEN</t>
  </si>
  <si>
    <t>#inneed+returnees+elderly+women</t>
  </si>
  <si>
    <t>#inneed+returnees+elderly+men</t>
  </si>
  <si>
    <t>#inneed+hostcommunity+girls</t>
  </si>
  <si>
    <t>#inneed+hostcommunity+boys</t>
  </si>
  <si>
    <t>#inneed+hostcommunity+women</t>
  </si>
  <si>
    <t>#inneed+hostcommunity+men</t>
  </si>
  <si>
    <t>#inneed+hostcommunity+elderly+women</t>
  </si>
  <si>
    <t>#inneed+hostcommunity+elderly+men</t>
  </si>
  <si>
    <t>#inneed+f+idps</t>
  </si>
  <si>
    <t>#inneed+m+idps</t>
  </si>
  <si>
    <t>#inneed+women+idps</t>
  </si>
  <si>
    <t>#inneed+men+idps</t>
  </si>
  <si>
    <t>#inneed+elderly+women+idps</t>
  </si>
  <si>
    <t>#inneed+idps+elderly+men</t>
  </si>
  <si>
    <t>#inneed+f+returnees</t>
  </si>
  <si>
    <t>#inneed+m+returnees</t>
  </si>
  <si>
    <t>#inneed+women+returnees</t>
  </si>
  <si>
    <t>#inneed+men+returnees</t>
  </si>
  <si>
    <t>#adm2+name</t>
  </si>
  <si>
    <t>#adm1+code</t>
  </si>
  <si>
    <t>#adm1+name</t>
  </si>
  <si>
    <t>#adm2+code</t>
  </si>
  <si>
    <t>IDPs</t>
  </si>
  <si>
    <t>#inneed+idps</t>
  </si>
  <si>
    <t>Returnees</t>
  </si>
  <si>
    <t>#inneed+returnees</t>
  </si>
  <si>
    <t>Host community</t>
  </si>
  <si>
    <t>#inneed+host 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</si>
</sst>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1" applyNumberFormat="1" applyFont="1" applyFill="1"/>
    <xf numFmtId="164" fontId="0" fillId="0" borderId="0" xfId="0" applyNumberForma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C472-759E-4F95-9E29-211B5655366C}">
  <dimension ref="A1:Y69"/>
  <sheetViews>
    <sheetView tabSelected="1" zoomScale="85" zoomScaleNormal="85" workbookViewId="0">
      <selection sqref="A1:D1"/>
    </sheetView>
  </sheetViews>
  <sheetFormatPr defaultRowHeight="15" x14ac:dyDescent="0.25"/>
  <cols>
    <col min="1" max="14" width="25" customWidth="1"/>
    <col min="15" max="15" width="18.28515625" customWidth="1"/>
    <col min="16" max="16" width="26.85546875" customWidth="1"/>
    <col min="17" max="21" width="25" customWidth="1"/>
    <col min="22" max="22" width="22.140625" customWidth="1"/>
    <col min="23" max="23" width="34.7109375" customWidth="1"/>
    <col min="24" max="24" width="32.5703125" customWidth="1"/>
    <col min="25" max="25" width="18.28515625" customWidth="1"/>
  </cols>
  <sheetData>
    <row r="1" spans="1:25" ht="24.75" customHeight="1" x14ac:dyDescent="0.25">
      <c r="A1" s="5" t="s">
        <v>137</v>
      </c>
      <c r="B1" s="5"/>
      <c r="C1" s="5"/>
      <c r="D1" s="5"/>
      <c r="E1" s="5" t="s">
        <v>138</v>
      </c>
      <c r="F1" s="5"/>
      <c r="G1" s="5"/>
      <c r="H1" s="5"/>
      <c r="I1" s="5"/>
      <c r="J1" s="5"/>
      <c r="K1" s="2"/>
      <c r="L1" s="5" t="s">
        <v>139</v>
      </c>
      <c r="M1" s="5"/>
      <c r="N1" s="5"/>
      <c r="O1" s="5"/>
      <c r="P1" s="5"/>
      <c r="Q1" s="5"/>
      <c r="R1" s="2"/>
      <c r="S1" s="5" t="s">
        <v>140</v>
      </c>
      <c r="T1" s="5"/>
      <c r="U1" s="5"/>
      <c r="V1" s="5"/>
      <c r="W1" s="5"/>
      <c r="X1" s="5"/>
    </row>
    <row r="2" spans="1:25" s="1" customFormat="1" ht="30" x14ac:dyDescent="0.25">
      <c r="A2" s="1" t="s">
        <v>141</v>
      </c>
      <c r="B2" s="1" t="s">
        <v>142</v>
      </c>
      <c r="C2" s="1" t="s">
        <v>0</v>
      </c>
      <c r="D2" s="1" t="s">
        <v>143</v>
      </c>
      <c r="E2" s="1" t="s">
        <v>144</v>
      </c>
      <c r="F2" s="1" t="s">
        <v>145</v>
      </c>
      <c r="G2" s="1" t="s">
        <v>146</v>
      </c>
      <c r="H2" s="1" t="s">
        <v>147</v>
      </c>
      <c r="I2" s="1" t="s">
        <v>148</v>
      </c>
      <c r="J2" s="1" t="s">
        <v>149</v>
      </c>
      <c r="K2" s="1" t="s">
        <v>184</v>
      </c>
      <c r="L2" s="1" t="s">
        <v>150</v>
      </c>
      <c r="M2" s="1" t="s">
        <v>151</v>
      </c>
      <c r="N2" s="1" t="s">
        <v>152</v>
      </c>
      <c r="O2" s="1" t="s">
        <v>153</v>
      </c>
      <c r="P2" s="1" t="s">
        <v>154</v>
      </c>
      <c r="Q2" s="1" t="s">
        <v>155</v>
      </c>
      <c r="R2" s="1" t="s">
        <v>186</v>
      </c>
      <c r="S2" s="1" t="s">
        <v>156</v>
      </c>
      <c r="T2" s="1" t="s">
        <v>157</v>
      </c>
      <c r="U2" s="1" t="s">
        <v>158</v>
      </c>
      <c r="V2" s="1" t="s">
        <v>159</v>
      </c>
      <c r="W2" s="1" t="s">
        <v>160</v>
      </c>
      <c r="X2" s="1" t="s">
        <v>161</v>
      </c>
      <c r="Y2" s="1" t="s">
        <v>188</v>
      </c>
    </row>
    <row r="3" spans="1:25" s="1" customFormat="1" ht="28.5" customHeight="1" x14ac:dyDescent="0.25">
      <c r="A3" s="1" t="s">
        <v>182</v>
      </c>
      <c r="B3" s="1" t="s">
        <v>181</v>
      </c>
      <c r="C3" s="1" t="s">
        <v>180</v>
      </c>
      <c r="D3" s="1" t="s">
        <v>183</v>
      </c>
      <c r="E3" s="1" t="s">
        <v>170</v>
      </c>
      <c r="F3" s="1" t="s">
        <v>171</v>
      </c>
      <c r="G3" s="1" t="s">
        <v>172</v>
      </c>
      <c r="H3" s="1" t="s">
        <v>173</v>
      </c>
      <c r="I3" s="1" t="s">
        <v>174</v>
      </c>
      <c r="J3" s="1" t="s">
        <v>175</v>
      </c>
      <c r="K3" s="1" t="s">
        <v>185</v>
      </c>
      <c r="L3" s="1" t="s">
        <v>176</v>
      </c>
      <c r="M3" s="1" t="s">
        <v>177</v>
      </c>
      <c r="N3" s="1" t="s">
        <v>178</v>
      </c>
      <c r="O3" s="1" t="s">
        <v>179</v>
      </c>
      <c r="P3" s="1" t="s">
        <v>162</v>
      </c>
      <c r="Q3" s="1" t="s">
        <v>163</v>
      </c>
      <c r="R3" s="1" t="s">
        <v>187</v>
      </c>
      <c r="S3" s="1" t="s">
        <v>164</v>
      </c>
      <c r="T3" s="1" t="s">
        <v>165</v>
      </c>
      <c r="U3" s="1" t="s">
        <v>166</v>
      </c>
      <c r="V3" s="1" t="s">
        <v>167</v>
      </c>
      <c r="W3" s="1" t="s">
        <v>168</v>
      </c>
      <c r="X3" s="1" t="s">
        <v>169</v>
      </c>
      <c r="Y3" s="1" t="s">
        <v>189</v>
      </c>
    </row>
    <row r="4" spans="1:25" x14ac:dyDescent="0.25">
      <c r="A4" s="3" t="s">
        <v>1</v>
      </c>
      <c r="B4" s="3" t="s">
        <v>2</v>
      </c>
      <c r="C4" s="3" t="s">
        <v>3</v>
      </c>
      <c r="D4" s="3" t="s">
        <v>4</v>
      </c>
      <c r="E4" s="3">
        <v>6683</v>
      </c>
      <c r="F4" s="3">
        <v>6542</v>
      </c>
      <c r="G4" s="3">
        <v>1898</v>
      </c>
      <c r="H4" s="3">
        <v>1870</v>
      </c>
      <c r="I4" s="3">
        <v>782</v>
      </c>
      <c r="J4" s="3">
        <v>759</v>
      </c>
      <c r="K4" s="3">
        <f>SUM(E4:J4)</f>
        <v>18534</v>
      </c>
      <c r="L4" s="3">
        <v>4068</v>
      </c>
      <c r="M4" s="3">
        <v>3977</v>
      </c>
      <c r="N4" s="3">
        <v>1570</v>
      </c>
      <c r="O4" s="3">
        <v>1542</v>
      </c>
      <c r="P4" s="3">
        <v>357</v>
      </c>
      <c r="Q4" s="3">
        <v>336</v>
      </c>
      <c r="R4" s="3">
        <f>SUM(L4:Q4)</f>
        <v>11850</v>
      </c>
      <c r="S4" s="3">
        <v>49932</v>
      </c>
      <c r="T4" s="3">
        <v>43691</v>
      </c>
      <c r="U4" s="3">
        <v>29647</v>
      </c>
      <c r="V4" s="3">
        <v>23406</v>
      </c>
      <c r="W4" s="3">
        <v>3121</v>
      </c>
      <c r="X4" s="3">
        <v>6241</v>
      </c>
      <c r="Y4" s="4">
        <f>SUM(S4:X4)</f>
        <v>156038</v>
      </c>
    </row>
    <row r="5" spans="1:25" x14ac:dyDescent="0.25">
      <c r="A5" s="3" t="s">
        <v>1</v>
      </c>
      <c r="B5" s="3" t="s">
        <v>2</v>
      </c>
      <c r="C5" s="3" t="s">
        <v>5</v>
      </c>
      <c r="D5" s="3" t="s">
        <v>6</v>
      </c>
      <c r="E5" s="3">
        <v>2420</v>
      </c>
      <c r="F5" s="3">
        <v>2075</v>
      </c>
      <c r="G5" s="3">
        <v>1314</v>
      </c>
      <c r="H5" s="3">
        <v>1336</v>
      </c>
      <c r="I5" s="3">
        <v>94</v>
      </c>
      <c r="J5" s="3">
        <v>93</v>
      </c>
      <c r="K5" s="3">
        <f t="shared" ref="K5:K68" si="0">SUM(E5:J5)</f>
        <v>7332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f t="shared" ref="R5:R68" si="1">SUM(L5:Q5)</f>
        <v>0</v>
      </c>
      <c r="S5" s="3">
        <v>143945</v>
      </c>
      <c r="T5" s="3">
        <v>125952</v>
      </c>
      <c r="U5" s="3">
        <v>85467</v>
      </c>
      <c r="V5" s="3">
        <v>67474</v>
      </c>
      <c r="W5" s="3">
        <v>8997</v>
      </c>
      <c r="X5" s="3">
        <v>17993</v>
      </c>
      <c r="Y5" s="4">
        <f t="shared" ref="Y5:Y68" si="2">SUM(S5:X5)</f>
        <v>449828</v>
      </c>
    </row>
    <row r="6" spans="1:25" x14ac:dyDescent="0.25">
      <c r="A6" s="3" t="s">
        <v>1</v>
      </c>
      <c r="B6" s="3" t="s">
        <v>2</v>
      </c>
      <c r="C6" s="3" t="s">
        <v>7</v>
      </c>
      <c r="D6" s="3" t="s">
        <v>8</v>
      </c>
      <c r="E6" s="3">
        <v>230</v>
      </c>
      <c r="F6" s="3">
        <v>213</v>
      </c>
      <c r="G6" s="3">
        <v>130</v>
      </c>
      <c r="H6" s="3">
        <v>117</v>
      </c>
      <c r="I6" s="3">
        <v>15</v>
      </c>
      <c r="J6" s="3">
        <v>16</v>
      </c>
      <c r="K6" s="3">
        <f t="shared" si="0"/>
        <v>721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f t="shared" si="1"/>
        <v>0</v>
      </c>
      <c r="S6" s="3">
        <v>87720</v>
      </c>
      <c r="T6" s="3">
        <v>76755</v>
      </c>
      <c r="U6" s="3">
        <v>52084</v>
      </c>
      <c r="V6" s="3">
        <v>41119</v>
      </c>
      <c r="W6" s="3">
        <v>5482</v>
      </c>
      <c r="X6" s="3">
        <v>10964</v>
      </c>
      <c r="Y6" s="4">
        <f t="shared" si="2"/>
        <v>274124</v>
      </c>
    </row>
    <row r="7" spans="1:25" x14ac:dyDescent="0.25">
      <c r="A7" s="3" t="s">
        <v>1</v>
      </c>
      <c r="B7" s="3" t="s">
        <v>2</v>
      </c>
      <c r="C7" s="3" t="s">
        <v>9</v>
      </c>
      <c r="D7" s="3" t="s">
        <v>10</v>
      </c>
      <c r="E7" s="3">
        <v>6070</v>
      </c>
      <c r="F7" s="3">
        <v>5180</v>
      </c>
      <c r="G7" s="3">
        <v>4817</v>
      </c>
      <c r="H7" s="3">
        <v>3926</v>
      </c>
      <c r="I7" s="3">
        <v>281</v>
      </c>
      <c r="J7" s="3">
        <v>286</v>
      </c>
      <c r="K7" s="3">
        <f t="shared" si="0"/>
        <v>20560</v>
      </c>
      <c r="L7" s="3">
        <v>327</v>
      </c>
      <c r="M7" s="3">
        <v>312</v>
      </c>
      <c r="N7" s="3">
        <v>337</v>
      </c>
      <c r="O7" s="3">
        <v>248</v>
      </c>
      <c r="P7" s="3">
        <v>9</v>
      </c>
      <c r="Q7" s="3">
        <v>7</v>
      </c>
      <c r="R7" s="3">
        <f t="shared" si="1"/>
        <v>1240</v>
      </c>
      <c r="S7" s="3">
        <v>66724</v>
      </c>
      <c r="T7" s="3">
        <v>58384</v>
      </c>
      <c r="U7" s="3">
        <v>39617</v>
      </c>
      <c r="V7" s="3">
        <v>31277</v>
      </c>
      <c r="W7" s="3">
        <v>4170</v>
      </c>
      <c r="X7" s="3">
        <v>8341</v>
      </c>
      <c r="Y7" s="4">
        <f t="shared" si="2"/>
        <v>208513</v>
      </c>
    </row>
    <row r="8" spans="1:25" x14ac:dyDescent="0.25">
      <c r="A8" s="3" t="s">
        <v>1</v>
      </c>
      <c r="B8" s="3" t="s">
        <v>2</v>
      </c>
      <c r="C8" s="3" t="s">
        <v>11</v>
      </c>
      <c r="D8" s="3" t="s">
        <v>12</v>
      </c>
      <c r="E8" s="3">
        <v>1370</v>
      </c>
      <c r="F8" s="3">
        <v>1082</v>
      </c>
      <c r="G8" s="3">
        <v>919</v>
      </c>
      <c r="H8" s="3">
        <v>850</v>
      </c>
      <c r="I8" s="3">
        <v>70</v>
      </c>
      <c r="J8" s="3">
        <v>53</v>
      </c>
      <c r="K8" s="3">
        <f t="shared" si="0"/>
        <v>4344</v>
      </c>
      <c r="L8" s="3">
        <v>24754</v>
      </c>
      <c r="M8" s="3">
        <v>23581</v>
      </c>
      <c r="N8" s="3">
        <v>11216</v>
      </c>
      <c r="O8" s="3">
        <v>9760</v>
      </c>
      <c r="P8" s="3">
        <v>4600</v>
      </c>
      <c r="Q8" s="3">
        <v>4526</v>
      </c>
      <c r="R8" s="3">
        <f t="shared" si="1"/>
        <v>78437</v>
      </c>
      <c r="S8" s="3">
        <v>64994</v>
      </c>
      <c r="T8" s="3">
        <v>56869</v>
      </c>
      <c r="U8" s="3">
        <v>38590</v>
      </c>
      <c r="V8" s="3">
        <v>30466</v>
      </c>
      <c r="W8" s="3">
        <v>4062</v>
      </c>
      <c r="X8" s="3">
        <v>8124</v>
      </c>
      <c r="Y8" s="4">
        <f t="shared" si="2"/>
        <v>203105</v>
      </c>
    </row>
    <row r="9" spans="1:25" x14ac:dyDescent="0.25">
      <c r="A9" s="3" t="s">
        <v>1</v>
      </c>
      <c r="B9" s="3" t="s">
        <v>2</v>
      </c>
      <c r="C9" s="3" t="s">
        <v>13</v>
      </c>
      <c r="D9" s="3" t="s">
        <v>14</v>
      </c>
      <c r="E9" s="3">
        <v>1489</v>
      </c>
      <c r="F9" s="3">
        <v>1301</v>
      </c>
      <c r="G9" s="3">
        <v>1338</v>
      </c>
      <c r="H9" s="3">
        <v>1298</v>
      </c>
      <c r="I9" s="3">
        <v>202</v>
      </c>
      <c r="J9" s="3">
        <v>192</v>
      </c>
      <c r="K9" s="3">
        <f t="shared" si="0"/>
        <v>5820</v>
      </c>
      <c r="L9" s="3">
        <v>3000</v>
      </c>
      <c r="M9" s="3">
        <v>2790</v>
      </c>
      <c r="N9" s="3">
        <v>2465</v>
      </c>
      <c r="O9" s="3">
        <v>2319</v>
      </c>
      <c r="P9" s="3">
        <v>138</v>
      </c>
      <c r="Q9" s="3">
        <v>118</v>
      </c>
      <c r="R9" s="3">
        <f t="shared" si="1"/>
        <v>10830</v>
      </c>
      <c r="S9" s="3">
        <v>42859</v>
      </c>
      <c r="T9" s="3">
        <v>37502</v>
      </c>
      <c r="U9" s="3">
        <v>25448</v>
      </c>
      <c r="V9" s="3">
        <v>20090</v>
      </c>
      <c r="W9" s="3">
        <v>2679</v>
      </c>
      <c r="X9" s="3">
        <v>5357</v>
      </c>
      <c r="Y9" s="4">
        <f t="shared" si="2"/>
        <v>133935</v>
      </c>
    </row>
    <row r="10" spans="1:25" x14ac:dyDescent="0.25">
      <c r="A10" s="3" t="s">
        <v>1</v>
      </c>
      <c r="B10" s="3" t="s">
        <v>2</v>
      </c>
      <c r="C10" s="3" t="s">
        <v>15</v>
      </c>
      <c r="D10" s="3" t="s">
        <v>16</v>
      </c>
      <c r="E10" s="3">
        <v>1620</v>
      </c>
      <c r="F10" s="3">
        <v>1349</v>
      </c>
      <c r="G10" s="3">
        <v>1077</v>
      </c>
      <c r="H10" s="3">
        <v>896</v>
      </c>
      <c r="I10" s="3">
        <v>205</v>
      </c>
      <c r="J10" s="3">
        <v>156</v>
      </c>
      <c r="K10" s="3">
        <f t="shared" si="0"/>
        <v>5303</v>
      </c>
      <c r="L10" s="3">
        <v>50732</v>
      </c>
      <c r="M10" s="3">
        <v>49628</v>
      </c>
      <c r="N10" s="3">
        <v>32768</v>
      </c>
      <c r="O10" s="3">
        <v>26723</v>
      </c>
      <c r="P10" s="3">
        <v>3511</v>
      </c>
      <c r="Q10" s="3">
        <v>2856</v>
      </c>
      <c r="R10" s="3">
        <f t="shared" si="1"/>
        <v>166218</v>
      </c>
      <c r="S10" s="3">
        <v>33534</v>
      </c>
      <c r="T10" s="3">
        <v>29343</v>
      </c>
      <c r="U10" s="3">
        <v>19911</v>
      </c>
      <c r="V10" s="3">
        <v>15719</v>
      </c>
      <c r="W10" s="3">
        <v>2096</v>
      </c>
      <c r="X10" s="3">
        <v>4192</v>
      </c>
      <c r="Y10" s="4">
        <f t="shared" si="2"/>
        <v>104795</v>
      </c>
    </row>
    <row r="11" spans="1:25" x14ac:dyDescent="0.25">
      <c r="A11" s="3" t="s">
        <v>1</v>
      </c>
      <c r="B11" s="3" t="s">
        <v>2</v>
      </c>
      <c r="C11" s="3" t="s">
        <v>17</v>
      </c>
      <c r="D11" s="3" t="s">
        <v>18</v>
      </c>
      <c r="E11" s="3">
        <v>196</v>
      </c>
      <c r="F11" s="3">
        <v>130</v>
      </c>
      <c r="G11" s="3">
        <v>24</v>
      </c>
      <c r="H11" s="3">
        <v>41</v>
      </c>
      <c r="I11" s="3">
        <v>9</v>
      </c>
      <c r="J11" s="3">
        <v>38</v>
      </c>
      <c r="K11" s="3">
        <f t="shared" si="0"/>
        <v>438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f t="shared" si="1"/>
        <v>0</v>
      </c>
      <c r="S11" s="3">
        <v>117931</v>
      </c>
      <c r="T11" s="3">
        <v>103190</v>
      </c>
      <c r="U11" s="3">
        <v>70021</v>
      </c>
      <c r="V11" s="3">
        <v>55280</v>
      </c>
      <c r="W11" s="3">
        <v>7371</v>
      </c>
      <c r="X11" s="3">
        <v>14741</v>
      </c>
      <c r="Y11" s="4">
        <f t="shared" si="2"/>
        <v>368534</v>
      </c>
    </row>
    <row r="12" spans="1:25" x14ac:dyDescent="0.25">
      <c r="A12" s="3" t="s">
        <v>1</v>
      </c>
      <c r="B12" s="3" t="s">
        <v>2</v>
      </c>
      <c r="C12" s="3" t="s">
        <v>19</v>
      </c>
      <c r="D12" s="3" t="s">
        <v>20</v>
      </c>
      <c r="E12" s="3">
        <v>1687</v>
      </c>
      <c r="F12" s="3">
        <v>1502</v>
      </c>
      <c r="G12" s="3">
        <v>1361</v>
      </c>
      <c r="H12" s="3">
        <v>1313</v>
      </c>
      <c r="I12" s="3">
        <v>72</v>
      </c>
      <c r="J12" s="3">
        <v>47</v>
      </c>
      <c r="K12" s="3">
        <f t="shared" si="0"/>
        <v>5982</v>
      </c>
      <c r="L12" s="3">
        <v>10290</v>
      </c>
      <c r="M12" s="3">
        <v>10146</v>
      </c>
      <c r="N12" s="3">
        <v>6529</v>
      </c>
      <c r="O12" s="3">
        <v>6460</v>
      </c>
      <c r="P12" s="3">
        <v>308</v>
      </c>
      <c r="Q12" s="3">
        <v>275</v>
      </c>
      <c r="R12" s="3">
        <f t="shared" si="1"/>
        <v>34008</v>
      </c>
      <c r="S12" s="3">
        <v>23978</v>
      </c>
      <c r="T12" s="3">
        <v>20981</v>
      </c>
      <c r="U12" s="3">
        <v>14237</v>
      </c>
      <c r="V12" s="3">
        <v>11240</v>
      </c>
      <c r="W12" s="3">
        <v>1499</v>
      </c>
      <c r="X12" s="3">
        <v>2997</v>
      </c>
      <c r="Y12" s="4">
        <f t="shared" si="2"/>
        <v>74932</v>
      </c>
    </row>
    <row r="13" spans="1:25" x14ac:dyDescent="0.25">
      <c r="A13" s="3" t="s">
        <v>1</v>
      </c>
      <c r="B13" s="3" t="s">
        <v>2</v>
      </c>
      <c r="C13" s="3" t="s">
        <v>21</v>
      </c>
      <c r="D13" s="3" t="s">
        <v>22</v>
      </c>
      <c r="E13" s="3">
        <v>5797</v>
      </c>
      <c r="F13" s="3">
        <v>5248</v>
      </c>
      <c r="G13" s="3">
        <v>2322</v>
      </c>
      <c r="H13" s="3">
        <v>2153</v>
      </c>
      <c r="I13" s="3">
        <v>401</v>
      </c>
      <c r="J13" s="3">
        <v>339</v>
      </c>
      <c r="K13" s="3">
        <f t="shared" si="0"/>
        <v>16260</v>
      </c>
      <c r="L13" s="3">
        <v>18552</v>
      </c>
      <c r="M13" s="3">
        <v>15789</v>
      </c>
      <c r="N13" s="3">
        <v>11961</v>
      </c>
      <c r="O13" s="3">
        <v>10375</v>
      </c>
      <c r="P13" s="3">
        <v>1390</v>
      </c>
      <c r="Q13" s="3">
        <v>1147</v>
      </c>
      <c r="R13" s="3">
        <f t="shared" si="1"/>
        <v>59214</v>
      </c>
      <c r="S13" s="3">
        <v>27270</v>
      </c>
      <c r="T13" s="3">
        <v>23862</v>
      </c>
      <c r="U13" s="3">
        <v>16192</v>
      </c>
      <c r="V13" s="3">
        <v>12783</v>
      </c>
      <c r="W13" s="3">
        <v>1704</v>
      </c>
      <c r="X13" s="3">
        <v>3409</v>
      </c>
      <c r="Y13" s="4">
        <f t="shared" si="2"/>
        <v>85220</v>
      </c>
    </row>
    <row r="14" spans="1:25" x14ac:dyDescent="0.25">
      <c r="A14" s="3" t="s">
        <v>1</v>
      </c>
      <c r="B14" s="3" t="s">
        <v>2</v>
      </c>
      <c r="C14" s="3" t="s">
        <v>23</v>
      </c>
      <c r="D14" s="3" t="s">
        <v>24</v>
      </c>
      <c r="E14" s="3">
        <v>5697</v>
      </c>
      <c r="F14" s="3">
        <v>4550</v>
      </c>
      <c r="G14" s="3">
        <v>2671</v>
      </c>
      <c r="H14" s="3">
        <v>2633</v>
      </c>
      <c r="I14" s="3">
        <v>514</v>
      </c>
      <c r="J14" s="3">
        <v>469</v>
      </c>
      <c r="K14" s="3">
        <f t="shared" si="0"/>
        <v>16534</v>
      </c>
      <c r="L14" s="3">
        <v>17237</v>
      </c>
      <c r="M14" s="3">
        <v>13197</v>
      </c>
      <c r="N14" s="3">
        <v>15322</v>
      </c>
      <c r="O14" s="3">
        <v>11110</v>
      </c>
      <c r="P14" s="3">
        <v>1648</v>
      </c>
      <c r="Q14" s="3">
        <v>1399</v>
      </c>
      <c r="R14" s="3">
        <f t="shared" si="1"/>
        <v>59913</v>
      </c>
      <c r="S14" s="3">
        <v>33381</v>
      </c>
      <c r="T14" s="3">
        <v>29208</v>
      </c>
      <c r="U14" s="3">
        <v>19820</v>
      </c>
      <c r="V14" s="3">
        <v>15647</v>
      </c>
      <c r="W14" s="3">
        <v>2086</v>
      </c>
      <c r="X14" s="3">
        <v>4174</v>
      </c>
      <c r="Y14" s="4">
        <f t="shared" si="2"/>
        <v>104316</v>
      </c>
    </row>
    <row r="15" spans="1:25" x14ac:dyDescent="0.25">
      <c r="A15" s="3" t="s">
        <v>1</v>
      </c>
      <c r="B15" s="3" t="s">
        <v>2</v>
      </c>
      <c r="C15" s="3" t="s">
        <v>25</v>
      </c>
      <c r="D15" s="3" t="s">
        <v>26</v>
      </c>
      <c r="E15" s="3">
        <v>491</v>
      </c>
      <c r="F15" s="3">
        <v>354</v>
      </c>
      <c r="G15" s="3">
        <v>195</v>
      </c>
      <c r="H15" s="3">
        <v>148</v>
      </c>
      <c r="I15" s="3">
        <v>37</v>
      </c>
      <c r="J15" s="3">
        <v>26</v>
      </c>
      <c r="K15" s="3">
        <f t="shared" si="0"/>
        <v>1251</v>
      </c>
      <c r="L15" s="3">
        <v>245</v>
      </c>
      <c r="M15" s="3">
        <v>203</v>
      </c>
      <c r="N15" s="3">
        <v>120</v>
      </c>
      <c r="O15" s="3">
        <v>73</v>
      </c>
      <c r="P15" s="3">
        <v>17</v>
      </c>
      <c r="Q15" s="3">
        <v>13</v>
      </c>
      <c r="R15" s="3">
        <f t="shared" si="1"/>
        <v>671</v>
      </c>
      <c r="S15" s="3">
        <v>93289</v>
      </c>
      <c r="T15" s="3">
        <v>81628</v>
      </c>
      <c r="U15" s="3">
        <v>55390</v>
      </c>
      <c r="V15" s="3">
        <v>43729</v>
      </c>
      <c r="W15" s="3">
        <v>5831</v>
      </c>
      <c r="X15" s="3">
        <v>11660</v>
      </c>
      <c r="Y15" s="4">
        <f t="shared" si="2"/>
        <v>291527</v>
      </c>
    </row>
    <row r="16" spans="1:25" x14ac:dyDescent="0.25">
      <c r="A16" s="3" t="s">
        <v>1</v>
      </c>
      <c r="B16" s="3" t="s">
        <v>2</v>
      </c>
      <c r="C16" s="3" t="s">
        <v>27</v>
      </c>
      <c r="D16" s="3" t="s">
        <v>28</v>
      </c>
      <c r="E16" s="3">
        <v>5884</v>
      </c>
      <c r="F16" s="3">
        <v>4892</v>
      </c>
      <c r="G16" s="3">
        <v>4384</v>
      </c>
      <c r="H16" s="3">
        <v>2651</v>
      </c>
      <c r="I16" s="3">
        <v>268</v>
      </c>
      <c r="J16" s="3">
        <v>255</v>
      </c>
      <c r="K16" s="3">
        <f t="shared" si="0"/>
        <v>18334</v>
      </c>
      <c r="L16" s="3">
        <v>49055</v>
      </c>
      <c r="M16" s="3">
        <v>44875</v>
      </c>
      <c r="N16" s="3">
        <v>28947</v>
      </c>
      <c r="O16" s="3">
        <v>22526</v>
      </c>
      <c r="P16" s="3">
        <v>3982</v>
      </c>
      <c r="Q16" s="3">
        <v>3393</v>
      </c>
      <c r="R16" s="3">
        <f t="shared" si="1"/>
        <v>152778</v>
      </c>
      <c r="S16" s="3">
        <v>17374</v>
      </c>
      <c r="T16" s="3">
        <v>15202</v>
      </c>
      <c r="U16" s="3">
        <v>10316</v>
      </c>
      <c r="V16" s="3">
        <v>8144</v>
      </c>
      <c r="W16" s="3">
        <v>1086</v>
      </c>
      <c r="X16" s="3">
        <v>2171</v>
      </c>
      <c r="Y16" s="4">
        <f t="shared" si="2"/>
        <v>54293</v>
      </c>
    </row>
    <row r="17" spans="1:25" x14ac:dyDescent="0.25">
      <c r="A17" s="3" t="s">
        <v>1</v>
      </c>
      <c r="B17" s="3" t="s">
        <v>2</v>
      </c>
      <c r="C17" s="3" t="s">
        <v>29</v>
      </c>
      <c r="D17" s="3" t="s">
        <v>30</v>
      </c>
      <c r="E17" s="3">
        <v>3650</v>
      </c>
      <c r="F17" s="3">
        <v>3359</v>
      </c>
      <c r="G17" s="3">
        <v>2512</v>
      </c>
      <c r="H17" s="3">
        <v>2603</v>
      </c>
      <c r="I17" s="3">
        <v>338</v>
      </c>
      <c r="J17" s="3">
        <v>359</v>
      </c>
      <c r="K17" s="3">
        <f t="shared" si="0"/>
        <v>12821</v>
      </c>
      <c r="L17" s="3">
        <v>30417</v>
      </c>
      <c r="M17" s="3">
        <v>27964</v>
      </c>
      <c r="N17" s="3">
        <v>21454</v>
      </c>
      <c r="O17" s="3">
        <v>20118</v>
      </c>
      <c r="P17" s="3">
        <v>1352</v>
      </c>
      <c r="Q17" s="3">
        <v>1174</v>
      </c>
      <c r="R17" s="3">
        <f t="shared" si="1"/>
        <v>102479</v>
      </c>
      <c r="S17" s="3">
        <v>41356</v>
      </c>
      <c r="T17" s="3">
        <v>36187</v>
      </c>
      <c r="U17" s="3">
        <v>24555</v>
      </c>
      <c r="V17" s="3">
        <v>19386</v>
      </c>
      <c r="W17" s="3">
        <v>2585</v>
      </c>
      <c r="X17" s="3">
        <v>5169</v>
      </c>
      <c r="Y17" s="4">
        <f t="shared" si="2"/>
        <v>129238</v>
      </c>
    </row>
    <row r="18" spans="1:25" x14ac:dyDescent="0.25">
      <c r="A18" s="3" t="s">
        <v>1</v>
      </c>
      <c r="B18" s="3" t="s">
        <v>2</v>
      </c>
      <c r="C18" s="3" t="s">
        <v>31</v>
      </c>
      <c r="D18" s="3" t="s">
        <v>32</v>
      </c>
      <c r="E18" s="3">
        <v>2085</v>
      </c>
      <c r="F18" s="3">
        <v>1780</v>
      </c>
      <c r="G18" s="3">
        <v>1665</v>
      </c>
      <c r="H18" s="3">
        <v>1692</v>
      </c>
      <c r="I18" s="3">
        <v>55</v>
      </c>
      <c r="J18" s="3">
        <v>71</v>
      </c>
      <c r="K18" s="3">
        <f t="shared" si="0"/>
        <v>7348</v>
      </c>
      <c r="L18" s="3">
        <v>35437</v>
      </c>
      <c r="M18" s="3">
        <v>30196</v>
      </c>
      <c r="N18" s="3">
        <v>20970</v>
      </c>
      <c r="O18" s="3">
        <v>19172</v>
      </c>
      <c r="P18" s="3">
        <v>2759</v>
      </c>
      <c r="Q18" s="3">
        <v>2438</v>
      </c>
      <c r="R18" s="3">
        <f t="shared" si="1"/>
        <v>110972</v>
      </c>
      <c r="S18" s="3">
        <v>34516</v>
      </c>
      <c r="T18" s="3">
        <v>30201</v>
      </c>
      <c r="U18" s="3">
        <v>20494</v>
      </c>
      <c r="V18" s="3">
        <v>16179</v>
      </c>
      <c r="W18" s="3">
        <v>2157</v>
      </c>
      <c r="X18" s="3">
        <v>4315</v>
      </c>
      <c r="Y18" s="4">
        <f t="shared" si="2"/>
        <v>107862</v>
      </c>
    </row>
    <row r="19" spans="1:25" x14ac:dyDescent="0.25">
      <c r="A19" s="3" t="s">
        <v>1</v>
      </c>
      <c r="B19" s="3" t="s">
        <v>2</v>
      </c>
      <c r="C19" s="3" t="s">
        <v>33</v>
      </c>
      <c r="D19" s="3" t="s">
        <v>34</v>
      </c>
      <c r="E19" s="3">
        <v>7061</v>
      </c>
      <c r="F19" s="3">
        <v>6179</v>
      </c>
      <c r="G19" s="3">
        <v>5095</v>
      </c>
      <c r="H19" s="3">
        <v>4707</v>
      </c>
      <c r="I19" s="3">
        <v>657</v>
      </c>
      <c r="J19" s="3">
        <v>619</v>
      </c>
      <c r="K19" s="3">
        <f t="shared" si="0"/>
        <v>24318</v>
      </c>
      <c r="L19" s="3">
        <v>7631</v>
      </c>
      <c r="M19" s="3">
        <v>7119</v>
      </c>
      <c r="N19" s="3">
        <v>6987</v>
      </c>
      <c r="O19" s="3">
        <v>5980</v>
      </c>
      <c r="P19" s="3">
        <v>546</v>
      </c>
      <c r="Q19" s="3">
        <v>395</v>
      </c>
      <c r="R19" s="3">
        <f t="shared" si="1"/>
        <v>28658</v>
      </c>
      <c r="S19" s="3">
        <v>12640</v>
      </c>
      <c r="T19" s="3">
        <v>11060</v>
      </c>
      <c r="U19" s="3">
        <v>7505</v>
      </c>
      <c r="V19" s="3">
        <v>5925</v>
      </c>
      <c r="W19" s="3">
        <v>790</v>
      </c>
      <c r="X19" s="3">
        <v>1580</v>
      </c>
      <c r="Y19" s="4">
        <f t="shared" si="2"/>
        <v>39500</v>
      </c>
    </row>
    <row r="20" spans="1:25" x14ac:dyDescent="0.25">
      <c r="A20" s="3" t="s">
        <v>1</v>
      </c>
      <c r="B20" s="3" t="s">
        <v>2</v>
      </c>
      <c r="C20" s="3" t="s">
        <v>35</v>
      </c>
      <c r="D20" s="3" t="s">
        <v>36</v>
      </c>
      <c r="E20" s="3">
        <v>3621</v>
      </c>
      <c r="F20" s="3">
        <v>2428</v>
      </c>
      <c r="G20" s="3">
        <v>1766</v>
      </c>
      <c r="H20" s="3">
        <v>1284</v>
      </c>
      <c r="I20" s="3">
        <v>775</v>
      </c>
      <c r="J20" s="3">
        <v>410</v>
      </c>
      <c r="K20" s="3">
        <f t="shared" si="0"/>
        <v>10284</v>
      </c>
      <c r="L20" s="3">
        <v>3235</v>
      </c>
      <c r="M20" s="3">
        <v>1876</v>
      </c>
      <c r="N20" s="3">
        <v>2490</v>
      </c>
      <c r="O20" s="3">
        <v>1352</v>
      </c>
      <c r="P20" s="3">
        <v>764</v>
      </c>
      <c r="Q20" s="3">
        <v>393</v>
      </c>
      <c r="R20" s="3">
        <f t="shared" si="1"/>
        <v>10110</v>
      </c>
      <c r="S20" s="3">
        <v>34260</v>
      </c>
      <c r="T20" s="3">
        <v>29978</v>
      </c>
      <c r="U20" s="3">
        <v>20342</v>
      </c>
      <c r="V20" s="3">
        <v>16059</v>
      </c>
      <c r="W20" s="3">
        <v>2141</v>
      </c>
      <c r="X20" s="3">
        <v>4283</v>
      </c>
      <c r="Y20" s="4">
        <f t="shared" si="2"/>
        <v>107063</v>
      </c>
    </row>
    <row r="21" spans="1:25" x14ac:dyDescent="0.25">
      <c r="A21" s="3" t="s">
        <v>1</v>
      </c>
      <c r="B21" s="3" t="s">
        <v>2</v>
      </c>
      <c r="C21" s="3" t="s">
        <v>37</v>
      </c>
      <c r="D21" s="3" t="s">
        <v>38</v>
      </c>
      <c r="E21" s="3">
        <v>797</v>
      </c>
      <c r="F21" s="3">
        <v>632</v>
      </c>
      <c r="G21" s="3">
        <v>212</v>
      </c>
      <c r="H21" s="3">
        <v>233</v>
      </c>
      <c r="I21" s="3">
        <v>64</v>
      </c>
      <c r="J21" s="3">
        <v>104</v>
      </c>
      <c r="K21" s="3">
        <f t="shared" si="0"/>
        <v>2042</v>
      </c>
      <c r="L21" s="3">
        <v>12469</v>
      </c>
      <c r="M21" s="3">
        <v>7350</v>
      </c>
      <c r="N21" s="3">
        <v>6778</v>
      </c>
      <c r="O21" s="3">
        <v>6902</v>
      </c>
      <c r="P21" s="3">
        <v>360</v>
      </c>
      <c r="Q21" s="3">
        <v>607</v>
      </c>
      <c r="R21" s="3">
        <f t="shared" si="1"/>
        <v>34466</v>
      </c>
      <c r="S21" s="3">
        <v>96877</v>
      </c>
      <c r="T21" s="3">
        <v>84767</v>
      </c>
      <c r="U21" s="3">
        <v>57521</v>
      </c>
      <c r="V21" s="3">
        <v>45411</v>
      </c>
      <c r="W21" s="3">
        <v>6055</v>
      </c>
      <c r="X21" s="3">
        <v>12109</v>
      </c>
      <c r="Y21" s="4">
        <f t="shared" si="2"/>
        <v>302740</v>
      </c>
    </row>
    <row r="22" spans="1:25" x14ac:dyDescent="0.25">
      <c r="A22" s="3" t="s">
        <v>1</v>
      </c>
      <c r="B22" s="3" t="s">
        <v>2</v>
      </c>
      <c r="C22" s="3" t="s">
        <v>39</v>
      </c>
      <c r="D22" s="3" t="s">
        <v>40</v>
      </c>
      <c r="E22" s="3">
        <v>197</v>
      </c>
      <c r="F22" s="3">
        <v>170</v>
      </c>
      <c r="G22" s="3">
        <v>96</v>
      </c>
      <c r="H22" s="3">
        <v>87</v>
      </c>
      <c r="I22" s="3">
        <v>9</v>
      </c>
      <c r="J22" s="3">
        <v>7</v>
      </c>
      <c r="K22" s="3">
        <f t="shared" si="0"/>
        <v>566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f t="shared" si="1"/>
        <v>0</v>
      </c>
      <c r="S22" s="3">
        <v>36119</v>
      </c>
      <c r="T22" s="3">
        <v>31604</v>
      </c>
      <c r="U22" s="3">
        <v>21446</v>
      </c>
      <c r="V22" s="3">
        <v>16931</v>
      </c>
      <c r="W22" s="3">
        <v>2257</v>
      </c>
      <c r="X22" s="3">
        <v>4516</v>
      </c>
      <c r="Y22" s="4">
        <f t="shared" si="2"/>
        <v>112873</v>
      </c>
    </row>
    <row r="23" spans="1:25" x14ac:dyDescent="0.25">
      <c r="A23" s="3" t="s">
        <v>1</v>
      </c>
      <c r="B23" s="3" t="s">
        <v>2</v>
      </c>
      <c r="C23" s="3" t="s">
        <v>41</v>
      </c>
      <c r="D23" s="3" t="s">
        <v>42</v>
      </c>
      <c r="E23" s="3">
        <v>3389</v>
      </c>
      <c r="F23" s="3">
        <v>2225</v>
      </c>
      <c r="G23" s="3">
        <v>2345</v>
      </c>
      <c r="H23" s="3">
        <v>1751</v>
      </c>
      <c r="I23" s="3">
        <v>259</v>
      </c>
      <c r="J23" s="3">
        <v>270</v>
      </c>
      <c r="K23" s="3">
        <f t="shared" si="0"/>
        <v>10239</v>
      </c>
      <c r="L23" s="3">
        <v>181</v>
      </c>
      <c r="M23" s="3">
        <v>155</v>
      </c>
      <c r="N23" s="3">
        <v>408</v>
      </c>
      <c r="O23" s="3">
        <v>263</v>
      </c>
      <c r="P23" s="3">
        <v>14</v>
      </c>
      <c r="Q23" s="3">
        <v>9</v>
      </c>
      <c r="R23" s="3">
        <f t="shared" si="1"/>
        <v>1030</v>
      </c>
      <c r="S23" s="3">
        <v>71626</v>
      </c>
      <c r="T23" s="3">
        <v>62672</v>
      </c>
      <c r="U23" s="3">
        <v>42528</v>
      </c>
      <c r="V23" s="3">
        <v>33575</v>
      </c>
      <c r="W23" s="3">
        <v>4477</v>
      </c>
      <c r="X23" s="3">
        <v>8952</v>
      </c>
      <c r="Y23" s="4">
        <f t="shared" si="2"/>
        <v>223830</v>
      </c>
    </row>
    <row r="24" spans="1:25" x14ac:dyDescent="0.25">
      <c r="A24" s="3" t="s">
        <v>1</v>
      </c>
      <c r="B24" s="3" t="s">
        <v>2</v>
      </c>
      <c r="C24" s="3" t="s">
        <v>43</v>
      </c>
      <c r="D24" s="3" t="s">
        <v>44</v>
      </c>
      <c r="E24" s="3">
        <v>6914</v>
      </c>
      <c r="F24" s="3">
        <v>5563</v>
      </c>
      <c r="G24" s="3">
        <v>5712</v>
      </c>
      <c r="H24" s="3">
        <v>4691</v>
      </c>
      <c r="I24" s="3">
        <v>753</v>
      </c>
      <c r="J24" s="3">
        <v>575</v>
      </c>
      <c r="K24" s="3">
        <f t="shared" si="0"/>
        <v>24208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f t="shared" si="1"/>
        <v>0</v>
      </c>
      <c r="S24" s="3">
        <v>131723</v>
      </c>
      <c r="T24" s="3">
        <v>115257</v>
      </c>
      <c r="U24" s="3">
        <v>78210</v>
      </c>
      <c r="V24" s="3">
        <v>61745</v>
      </c>
      <c r="W24" s="3">
        <v>8233</v>
      </c>
      <c r="X24" s="3">
        <v>16465</v>
      </c>
      <c r="Y24" s="4">
        <f t="shared" si="2"/>
        <v>411633</v>
      </c>
    </row>
    <row r="25" spans="1:25" x14ac:dyDescent="0.25">
      <c r="A25" s="3" t="s">
        <v>45</v>
      </c>
      <c r="B25" s="3" t="s">
        <v>46</v>
      </c>
      <c r="C25" s="3" t="s">
        <v>47</v>
      </c>
      <c r="D25" s="3" t="s">
        <v>48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f t="shared" si="0"/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f t="shared" si="1"/>
        <v>0</v>
      </c>
      <c r="S25" s="3">
        <v>38143</v>
      </c>
      <c r="T25" s="3">
        <v>33375</v>
      </c>
      <c r="U25" s="3">
        <v>22647</v>
      </c>
      <c r="V25" s="3">
        <v>17880</v>
      </c>
      <c r="W25" s="3">
        <v>2384</v>
      </c>
      <c r="X25" s="3">
        <v>4768</v>
      </c>
      <c r="Y25" s="4">
        <f t="shared" si="2"/>
        <v>119197</v>
      </c>
    </row>
    <row r="26" spans="1:25" x14ac:dyDescent="0.25">
      <c r="A26" s="3" t="s">
        <v>45</v>
      </c>
      <c r="B26" s="3" t="s">
        <v>46</v>
      </c>
      <c r="C26" s="3" t="s">
        <v>49</v>
      </c>
      <c r="D26" s="3" t="s">
        <v>50</v>
      </c>
      <c r="E26" s="3">
        <v>4744</v>
      </c>
      <c r="F26" s="3">
        <v>3170</v>
      </c>
      <c r="G26" s="3">
        <v>1335</v>
      </c>
      <c r="H26" s="3">
        <v>1422</v>
      </c>
      <c r="I26" s="3">
        <v>318</v>
      </c>
      <c r="J26" s="3">
        <v>585</v>
      </c>
      <c r="K26" s="3">
        <f t="shared" si="0"/>
        <v>11574</v>
      </c>
      <c r="L26" s="3">
        <v>57156</v>
      </c>
      <c r="M26" s="3">
        <v>49494</v>
      </c>
      <c r="N26" s="3">
        <v>30701</v>
      </c>
      <c r="O26" s="3">
        <v>23060</v>
      </c>
      <c r="P26" s="3">
        <v>3390</v>
      </c>
      <c r="Q26" s="3">
        <v>2991</v>
      </c>
      <c r="R26" s="3">
        <f t="shared" si="1"/>
        <v>166792</v>
      </c>
      <c r="S26" s="3">
        <v>44625</v>
      </c>
      <c r="T26" s="3">
        <v>39047</v>
      </c>
      <c r="U26" s="3">
        <v>26496</v>
      </c>
      <c r="V26" s="3">
        <v>20918</v>
      </c>
      <c r="W26" s="3">
        <v>2789</v>
      </c>
      <c r="X26" s="3">
        <v>5579</v>
      </c>
      <c r="Y26" s="4">
        <f t="shared" si="2"/>
        <v>139454</v>
      </c>
    </row>
    <row r="27" spans="1:25" x14ac:dyDescent="0.25">
      <c r="A27" s="3" t="s">
        <v>45</v>
      </c>
      <c r="B27" s="3" t="s">
        <v>46</v>
      </c>
      <c r="C27" s="3" t="s">
        <v>51</v>
      </c>
      <c r="D27" s="3" t="s">
        <v>52</v>
      </c>
      <c r="E27" s="3">
        <v>56427</v>
      </c>
      <c r="F27" s="3">
        <v>48198</v>
      </c>
      <c r="G27" s="3">
        <v>33366</v>
      </c>
      <c r="H27" s="3">
        <v>22099</v>
      </c>
      <c r="I27" s="3">
        <v>2309</v>
      </c>
      <c r="J27" s="3">
        <v>2161</v>
      </c>
      <c r="K27" s="3">
        <f t="shared" si="0"/>
        <v>164560</v>
      </c>
      <c r="L27" s="3">
        <v>20834</v>
      </c>
      <c r="M27" s="3">
        <v>17355</v>
      </c>
      <c r="N27" s="3">
        <v>11439</v>
      </c>
      <c r="O27" s="3">
        <v>8943</v>
      </c>
      <c r="P27" s="3">
        <v>761</v>
      </c>
      <c r="Q27" s="3">
        <v>651</v>
      </c>
      <c r="R27" s="3">
        <f t="shared" si="1"/>
        <v>59983</v>
      </c>
      <c r="S27" s="3">
        <v>11433</v>
      </c>
      <c r="T27" s="3">
        <v>10004</v>
      </c>
      <c r="U27" s="3">
        <v>6788</v>
      </c>
      <c r="V27" s="3">
        <v>5359</v>
      </c>
      <c r="W27" s="3">
        <v>715</v>
      </c>
      <c r="X27" s="3">
        <v>1429</v>
      </c>
      <c r="Y27" s="4">
        <f t="shared" si="2"/>
        <v>35728</v>
      </c>
    </row>
    <row r="28" spans="1:25" x14ac:dyDescent="0.25">
      <c r="A28" s="3" t="s">
        <v>45</v>
      </c>
      <c r="B28" s="3" t="s">
        <v>46</v>
      </c>
      <c r="C28" s="3" t="s">
        <v>53</v>
      </c>
      <c r="D28" s="3" t="s">
        <v>54</v>
      </c>
      <c r="E28" s="3">
        <v>85</v>
      </c>
      <c r="F28" s="3">
        <v>93</v>
      </c>
      <c r="G28" s="3">
        <v>63</v>
      </c>
      <c r="H28" s="3">
        <v>67</v>
      </c>
      <c r="I28" s="3">
        <v>1</v>
      </c>
      <c r="J28" s="3">
        <v>17</v>
      </c>
      <c r="K28" s="3">
        <f t="shared" si="0"/>
        <v>326</v>
      </c>
      <c r="L28" s="3">
        <v>987</v>
      </c>
      <c r="M28" s="3">
        <v>972</v>
      </c>
      <c r="N28" s="3">
        <v>462</v>
      </c>
      <c r="O28" s="3">
        <v>453</v>
      </c>
      <c r="P28" s="3">
        <v>16</v>
      </c>
      <c r="Q28" s="3">
        <v>22</v>
      </c>
      <c r="R28" s="3">
        <f t="shared" si="1"/>
        <v>2912</v>
      </c>
      <c r="S28" s="3">
        <v>61469</v>
      </c>
      <c r="T28" s="3">
        <v>53785</v>
      </c>
      <c r="U28" s="3">
        <v>36497</v>
      </c>
      <c r="V28" s="3">
        <v>28814</v>
      </c>
      <c r="W28" s="3">
        <v>3842</v>
      </c>
      <c r="X28" s="3">
        <v>7684</v>
      </c>
      <c r="Y28" s="4">
        <f t="shared" si="2"/>
        <v>192091</v>
      </c>
    </row>
    <row r="29" spans="1:25" x14ac:dyDescent="0.25">
      <c r="A29" s="3" t="s">
        <v>45</v>
      </c>
      <c r="B29" s="3" t="s">
        <v>46</v>
      </c>
      <c r="C29" s="3" t="s">
        <v>55</v>
      </c>
      <c r="D29" s="3" t="s">
        <v>56</v>
      </c>
      <c r="E29" s="3">
        <v>16086</v>
      </c>
      <c r="F29" s="3">
        <v>13263</v>
      </c>
      <c r="G29" s="3">
        <v>5171</v>
      </c>
      <c r="H29" s="3">
        <v>4948</v>
      </c>
      <c r="I29" s="3">
        <v>1636</v>
      </c>
      <c r="J29" s="3">
        <v>1870</v>
      </c>
      <c r="K29" s="3">
        <f t="shared" si="0"/>
        <v>42974</v>
      </c>
      <c r="L29" s="3">
        <v>2954</v>
      </c>
      <c r="M29" s="3">
        <v>2510</v>
      </c>
      <c r="N29" s="3">
        <v>2426</v>
      </c>
      <c r="O29" s="3">
        <v>1840</v>
      </c>
      <c r="P29" s="3">
        <v>504</v>
      </c>
      <c r="Q29" s="3">
        <v>241</v>
      </c>
      <c r="R29" s="3">
        <f t="shared" si="1"/>
        <v>10475</v>
      </c>
      <c r="S29" s="3">
        <v>101679</v>
      </c>
      <c r="T29" s="3">
        <v>88969</v>
      </c>
      <c r="U29" s="3">
        <v>60372</v>
      </c>
      <c r="V29" s="3">
        <v>47662</v>
      </c>
      <c r="W29" s="3">
        <v>6355</v>
      </c>
      <c r="X29" s="3">
        <v>12711</v>
      </c>
      <c r="Y29" s="4">
        <f t="shared" si="2"/>
        <v>317748</v>
      </c>
    </row>
    <row r="30" spans="1:25" x14ac:dyDescent="0.25">
      <c r="A30" s="3" t="s">
        <v>45</v>
      </c>
      <c r="B30" s="3" t="s">
        <v>46</v>
      </c>
      <c r="C30" s="3" t="s">
        <v>57</v>
      </c>
      <c r="D30" s="3" t="s">
        <v>58</v>
      </c>
      <c r="E30" s="3">
        <v>4272</v>
      </c>
      <c r="F30" s="3">
        <v>4153</v>
      </c>
      <c r="G30" s="3">
        <v>3022</v>
      </c>
      <c r="H30" s="3">
        <v>2765</v>
      </c>
      <c r="I30" s="3">
        <v>302</v>
      </c>
      <c r="J30" s="3">
        <v>205</v>
      </c>
      <c r="K30" s="3">
        <f t="shared" si="0"/>
        <v>14719</v>
      </c>
      <c r="L30" s="3">
        <v>10119</v>
      </c>
      <c r="M30" s="3">
        <v>9862</v>
      </c>
      <c r="N30" s="3">
        <v>5568</v>
      </c>
      <c r="O30" s="3">
        <v>5190</v>
      </c>
      <c r="P30" s="3">
        <v>464</v>
      </c>
      <c r="Q30" s="3">
        <v>344</v>
      </c>
      <c r="R30" s="3">
        <f t="shared" si="1"/>
        <v>31547</v>
      </c>
      <c r="S30" s="3">
        <v>26319</v>
      </c>
      <c r="T30" s="3">
        <v>23029</v>
      </c>
      <c r="U30" s="3">
        <v>15627</v>
      </c>
      <c r="V30" s="3">
        <v>12337</v>
      </c>
      <c r="W30" s="3">
        <v>1645</v>
      </c>
      <c r="X30" s="3">
        <v>3289</v>
      </c>
      <c r="Y30" s="4">
        <f t="shared" si="2"/>
        <v>82246</v>
      </c>
    </row>
    <row r="31" spans="1:25" x14ac:dyDescent="0.25">
      <c r="A31" s="3" t="s">
        <v>45</v>
      </c>
      <c r="B31" s="3" t="s">
        <v>46</v>
      </c>
      <c r="C31" s="3" t="s">
        <v>59</v>
      </c>
      <c r="D31" s="3" t="s">
        <v>60</v>
      </c>
      <c r="E31" s="3">
        <v>31905</v>
      </c>
      <c r="F31" s="3">
        <v>25294</v>
      </c>
      <c r="G31" s="3">
        <v>27582</v>
      </c>
      <c r="H31" s="3">
        <v>20738</v>
      </c>
      <c r="I31" s="3">
        <v>2096</v>
      </c>
      <c r="J31" s="3">
        <v>1618</v>
      </c>
      <c r="K31" s="3">
        <f t="shared" si="0"/>
        <v>109233</v>
      </c>
      <c r="L31" s="3">
        <v>11599</v>
      </c>
      <c r="M31" s="3">
        <v>8712</v>
      </c>
      <c r="N31" s="3">
        <v>7974</v>
      </c>
      <c r="O31" s="3">
        <v>5058</v>
      </c>
      <c r="P31" s="3">
        <v>649</v>
      </c>
      <c r="Q31" s="3">
        <v>454</v>
      </c>
      <c r="R31" s="3">
        <f t="shared" si="1"/>
        <v>34446</v>
      </c>
      <c r="S31" s="3">
        <v>28109</v>
      </c>
      <c r="T31" s="3">
        <v>24595</v>
      </c>
      <c r="U31" s="3">
        <v>16690</v>
      </c>
      <c r="V31" s="3">
        <v>13176</v>
      </c>
      <c r="W31" s="3">
        <v>1757</v>
      </c>
      <c r="X31" s="3">
        <v>3513</v>
      </c>
      <c r="Y31" s="4">
        <f t="shared" si="2"/>
        <v>87840</v>
      </c>
    </row>
    <row r="32" spans="1:25" x14ac:dyDescent="0.25">
      <c r="A32" s="3" t="s">
        <v>45</v>
      </c>
      <c r="B32" s="3" t="s">
        <v>46</v>
      </c>
      <c r="C32" s="3" t="s">
        <v>61</v>
      </c>
      <c r="D32" s="3" t="s">
        <v>62</v>
      </c>
      <c r="E32" s="3">
        <v>33767</v>
      </c>
      <c r="F32" s="3">
        <v>27780</v>
      </c>
      <c r="G32" s="3">
        <v>22702</v>
      </c>
      <c r="H32" s="3">
        <v>18575</v>
      </c>
      <c r="I32" s="3">
        <v>1764</v>
      </c>
      <c r="J32" s="3">
        <v>1449</v>
      </c>
      <c r="K32" s="3">
        <f t="shared" si="0"/>
        <v>106037</v>
      </c>
      <c r="L32" s="3">
        <v>10182</v>
      </c>
      <c r="M32" s="3">
        <v>8329</v>
      </c>
      <c r="N32" s="3">
        <v>6845</v>
      </c>
      <c r="O32" s="3">
        <v>5599</v>
      </c>
      <c r="P32" s="3">
        <v>526</v>
      </c>
      <c r="Q32" s="3">
        <v>429</v>
      </c>
      <c r="R32" s="3">
        <f t="shared" si="1"/>
        <v>31910</v>
      </c>
      <c r="S32" s="3">
        <v>-846</v>
      </c>
      <c r="T32" s="3">
        <v>-740</v>
      </c>
      <c r="U32" s="3">
        <v>-502</v>
      </c>
      <c r="V32" s="3">
        <v>-397</v>
      </c>
      <c r="W32" s="3">
        <v>-53</v>
      </c>
      <c r="X32" s="3">
        <v>-106</v>
      </c>
      <c r="Y32" s="4">
        <f t="shared" si="2"/>
        <v>-2644</v>
      </c>
    </row>
    <row r="33" spans="1:25" x14ac:dyDescent="0.25">
      <c r="A33" s="3" t="s">
        <v>45</v>
      </c>
      <c r="B33" s="3" t="s">
        <v>46</v>
      </c>
      <c r="C33" s="3" t="s">
        <v>63</v>
      </c>
      <c r="D33" s="3" t="s">
        <v>64</v>
      </c>
      <c r="E33" s="3">
        <v>3421</v>
      </c>
      <c r="F33" s="3">
        <v>2890</v>
      </c>
      <c r="G33" s="3">
        <v>2473</v>
      </c>
      <c r="H33" s="3">
        <v>1947</v>
      </c>
      <c r="I33" s="3">
        <v>216</v>
      </c>
      <c r="J33" s="3">
        <v>181</v>
      </c>
      <c r="K33" s="3">
        <f t="shared" si="0"/>
        <v>11128</v>
      </c>
      <c r="L33" s="3">
        <v>7208</v>
      </c>
      <c r="M33" s="3">
        <v>6129</v>
      </c>
      <c r="N33" s="3">
        <v>5695</v>
      </c>
      <c r="O33" s="3">
        <v>4545</v>
      </c>
      <c r="P33" s="3">
        <v>472</v>
      </c>
      <c r="Q33" s="3">
        <v>390</v>
      </c>
      <c r="R33" s="3">
        <f t="shared" si="1"/>
        <v>24439</v>
      </c>
      <c r="S33" s="3">
        <v>43668</v>
      </c>
      <c r="T33" s="3">
        <v>38209</v>
      </c>
      <c r="U33" s="3">
        <v>25928</v>
      </c>
      <c r="V33" s="3">
        <v>20469</v>
      </c>
      <c r="W33" s="3">
        <v>2729</v>
      </c>
      <c r="X33" s="3">
        <v>5459</v>
      </c>
      <c r="Y33" s="4">
        <f t="shared" si="2"/>
        <v>136462</v>
      </c>
    </row>
    <row r="34" spans="1:25" x14ac:dyDescent="0.25">
      <c r="A34" s="3" t="s">
        <v>45</v>
      </c>
      <c r="B34" s="3" t="s">
        <v>46</v>
      </c>
      <c r="C34" s="3" t="s">
        <v>65</v>
      </c>
      <c r="D34" s="3" t="s">
        <v>66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f t="shared" si="0"/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f t="shared" si="1"/>
        <v>0</v>
      </c>
      <c r="S34" s="3">
        <v>32691</v>
      </c>
      <c r="T34" s="3">
        <v>28605</v>
      </c>
      <c r="U34" s="3">
        <v>19410</v>
      </c>
      <c r="V34" s="3">
        <v>15324</v>
      </c>
      <c r="W34" s="3">
        <v>2043</v>
      </c>
      <c r="X34" s="3">
        <v>4087</v>
      </c>
      <c r="Y34" s="4">
        <f t="shared" si="2"/>
        <v>102160</v>
      </c>
    </row>
    <row r="35" spans="1:25" x14ac:dyDescent="0.25">
      <c r="A35" s="3" t="s">
        <v>45</v>
      </c>
      <c r="B35" s="3" t="s">
        <v>46</v>
      </c>
      <c r="C35" s="3" t="s">
        <v>67</v>
      </c>
      <c r="D35" s="3" t="s">
        <v>68</v>
      </c>
      <c r="E35" s="3">
        <v>56477</v>
      </c>
      <c r="F35" s="3">
        <v>46418</v>
      </c>
      <c r="G35" s="3">
        <v>34486</v>
      </c>
      <c r="H35" s="3">
        <v>19788</v>
      </c>
      <c r="I35" s="3">
        <v>2406</v>
      </c>
      <c r="J35" s="3">
        <v>1991</v>
      </c>
      <c r="K35" s="3">
        <f t="shared" si="0"/>
        <v>161566</v>
      </c>
      <c r="L35" s="3">
        <v>31713</v>
      </c>
      <c r="M35" s="3">
        <v>23551</v>
      </c>
      <c r="N35" s="3">
        <v>26991</v>
      </c>
      <c r="O35" s="3">
        <v>16257</v>
      </c>
      <c r="P35" s="3">
        <v>1698</v>
      </c>
      <c r="Q35" s="3">
        <v>1381</v>
      </c>
      <c r="R35" s="3">
        <f t="shared" si="1"/>
        <v>101591</v>
      </c>
      <c r="S35" s="3">
        <v>3777</v>
      </c>
      <c r="T35" s="3">
        <v>3305</v>
      </c>
      <c r="U35" s="3">
        <v>2242</v>
      </c>
      <c r="V35" s="3">
        <v>1770</v>
      </c>
      <c r="W35" s="3">
        <v>236</v>
      </c>
      <c r="X35" s="3">
        <v>472</v>
      </c>
      <c r="Y35" s="4">
        <f t="shared" si="2"/>
        <v>11802</v>
      </c>
    </row>
    <row r="36" spans="1:25" x14ac:dyDescent="0.25">
      <c r="A36" s="3" t="s">
        <v>45</v>
      </c>
      <c r="B36" s="3" t="s">
        <v>46</v>
      </c>
      <c r="C36" s="3" t="s">
        <v>69</v>
      </c>
      <c r="D36" s="3" t="s">
        <v>70</v>
      </c>
      <c r="E36" s="3">
        <v>6215</v>
      </c>
      <c r="F36" s="3">
        <v>5583</v>
      </c>
      <c r="G36" s="3">
        <v>5119</v>
      </c>
      <c r="H36" s="3">
        <v>4572</v>
      </c>
      <c r="I36" s="3">
        <v>223</v>
      </c>
      <c r="J36" s="3">
        <v>199</v>
      </c>
      <c r="K36" s="3">
        <f t="shared" si="0"/>
        <v>21911</v>
      </c>
      <c r="L36" s="3">
        <v>8168</v>
      </c>
      <c r="M36" s="3">
        <v>7270</v>
      </c>
      <c r="N36" s="3">
        <v>4278</v>
      </c>
      <c r="O36" s="3">
        <v>3879</v>
      </c>
      <c r="P36" s="3">
        <v>138</v>
      </c>
      <c r="Q36" s="3">
        <v>251</v>
      </c>
      <c r="R36" s="3">
        <f t="shared" si="1"/>
        <v>23984</v>
      </c>
      <c r="S36" s="3">
        <v>86668</v>
      </c>
      <c r="T36" s="3">
        <v>75834</v>
      </c>
      <c r="U36" s="3">
        <v>51459</v>
      </c>
      <c r="V36" s="3">
        <v>40625</v>
      </c>
      <c r="W36" s="3">
        <v>5417</v>
      </c>
      <c r="X36" s="3">
        <v>10833</v>
      </c>
      <c r="Y36" s="4">
        <f t="shared" si="2"/>
        <v>270836</v>
      </c>
    </row>
    <row r="37" spans="1:25" x14ac:dyDescent="0.25">
      <c r="A37" s="3" t="s">
        <v>45</v>
      </c>
      <c r="B37" s="3" t="s">
        <v>46</v>
      </c>
      <c r="C37" s="3" t="s">
        <v>71</v>
      </c>
      <c r="D37" s="3" t="s">
        <v>72</v>
      </c>
      <c r="E37" s="3">
        <v>104985</v>
      </c>
      <c r="F37" s="3">
        <v>77924</v>
      </c>
      <c r="G37" s="3">
        <v>49882</v>
      </c>
      <c r="H37" s="3">
        <v>42993</v>
      </c>
      <c r="I37" s="3">
        <v>4091</v>
      </c>
      <c r="J37" s="3">
        <v>8334</v>
      </c>
      <c r="K37" s="3">
        <f t="shared" si="0"/>
        <v>288209</v>
      </c>
      <c r="L37" s="3">
        <v>2719</v>
      </c>
      <c r="M37" s="3">
        <v>2308</v>
      </c>
      <c r="N37" s="3">
        <v>2110</v>
      </c>
      <c r="O37" s="3">
        <v>1627</v>
      </c>
      <c r="P37" s="3">
        <v>134</v>
      </c>
      <c r="Q37" s="3">
        <v>136</v>
      </c>
      <c r="R37" s="3">
        <f t="shared" si="1"/>
        <v>9034</v>
      </c>
      <c r="S37" s="3">
        <v>84969</v>
      </c>
      <c r="T37" s="3">
        <v>74348</v>
      </c>
      <c r="U37" s="3">
        <v>50450</v>
      </c>
      <c r="V37" s="3">
        <v>39829</v>
      </c>
      <c r="W37" s="3">
        <v>5311</v>
      </c>
      <c r="X37" s="3">
        <v>10621</v>
      </c>
      <c r="Y37" s="4">
        <f t="shared" si="2"/>
        <v>265528</v>
      </c>
    </row>
    <row r="38" spans="1:25" x14ac:dyDescent="0.25">
      <c r="A38" s="3" t="s">
        <v>45</v>
      </c>
      <c r="B38" s="3" t="s">
        <v>46</v>
      </c>
      <c r="C38" s="3" t="s">
        <v>73</v>
      </c>
      <c r="D38" s="3" t="s">
        <v>74</v>
      </c>
      <c r="E38" s="3">
        <v>8720</v>
      </c>
      <c r="F38" s="3">
        <v>7174</v>
      </c>
      <c r="G38" s="3">
        <v>4130</v>
      </c>
      <c r="H38" s="3">
        <v>3321</v>
      </c>
      <c r="I38" s="3">
        <v>517</v>
      </c>
      <c r="J38" s="3">
        <v>434</v>
      </c>
      <c r="K38" s="3">
        <f t="shared" si="0"/>
        <v>24296</v>
      </c>
      <c r="L38" s="3">
        <v>14889</v>
      </c>
      <c r="M38" s="3">
        <v>12340</v>
      </c>
      <c r="N38" s="3">
        <v>6941</v>
      </c>
      <c r="O38" s="3">
        <v>5779</v>
      </c>
      <c r="P38" s="3">
        <v>952</v>
      </c>
      <c r="Q38" s="3">
        <v>786</v>
      </c>
      <c r="R38" s="3">
        <f t="shared" si="1"/>
        <v>41687</v>
      </c>
      <c r="S38" s="3">
        <v>21516</v>
      </c>
      <c r="T38" s="3">
        <v>18827</v>
      </c>
      <c r="U38" s="3">
        <v>12775</v>
      </c>
      <c r="V38" s="3">
        <v>10086</v>
      </c>
      <c r="W38" s="3">
        <v>1345</v>
      </c>
      <c r="X38" s="3">
        <v>2689</v>
      </c>
      <c r="Y38" s="4">
        <f t="shared" si="2"/>
        <v>67238</v>
      </c>
    </row>
    <row r="39" spans="1:25" x14ac:dyDescent="0.25">
      <c r="A39" s="3" t="s">
        <v>45</v>
      </c>
      <c r="B39" s="3" t="s">
        <v>46</v>
      </c>
      <c r="C39" s="3" t="s">
        <v>75</v>
      </c>
      <c r="D39" s="3" t="s">
        <v>76</v>
      </c>
      <c r="E39" s="3">
        <v>11319</v>
      </c>
      <c r="F39" s="3">
        <v>9839</v>
      </c>
      <c r="G39" s="3">
        <v>9890</v>
      </c>
      <c r="H39" s="3">
        <v>7998</v>
      </c>
      <c r="I39" s="3">
        <v>796</v>
      </c>
      <c r="J39" s="3">
        <v>761</v>
      </c>
      <c r="K39" s="3">
        <f t="shared" si="0"/>
        <v>40603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f t="shared" si="1"/>
        <v>0</v>
      </c>
      <c r="S39" s="3">
        <v>10701</v>
      </c>
      <c r="T39" s="3">
        <v>9363</v>
      </c>
      <c r="U39" s="3">
        <v>6354</v>
      </c>
      <c r="V39" s="3">
        <v>5016</v>
      </c>
      <c r="W39" s="3">
        <v>669</v>
      </c>
      <c r="X39" s="3">
        <v>1337</v>
      </c>
      <c r="Y39" s="4">
        <f t="shared" si="2"/>
        <v>33440</v>
      </c>
    </row>
    <row r="40" spans="1:25" x14ac:dyDescent="0.25">
      <c r="A40" s="3" t="s">
        <v>45</v>
      </c>
      <c r="B40" s="3" t="s">
        <v>46</v>
      </c>
      <c r="C40" s="3" t="s">
        <v>77</v>
      </c>
      <c r="D40" s="3" t="s">
        <v>78</v>
      </c>
      <c r="E40" s="3">
        <v>25993</v>
      </c>
      <c r="F40" s="3">
        <v>20474</v>
      </c>
      <c r="G40" s="3">
        <v>24826</v>
      </c>
      <c r="H40" s="3">
        <v>20027</v>
      </c>
      <c r="I40" s="3">
        <v>2018</v>
      </c>
      <c r="J40" s="3">
        <v>1624</v>
      </c>
      <c r="K40" s="3">
        <f t="shared" si="0"/>
        <v>94962</v>
      </c>
      <c r="L40" s="3">
        <v>16579</v>
      </c>
      <c r="M40" s="3">
        <v>13672</v>
      </c>
      <c r="N40" s="3">
        <v>16613</v>
      </c>
      <c r="O40" s="3">
        <v>13836</v>
      </c>
      <c r="P40" s="3">
        <v>1338</v>
      </c>
      <c r="Q40" s="3">
        <v>1112</v>
      </c>
      <c r="R40" s="3">
        <f t="shared" si="1"/>
        <v>63150</v>
      </c>
      <c r="S40" s="3">
        <v>16150</v>
      </c>
      <c r="T40" s="3">
        <v>14132</v>
      </c>
      <c r="U40" s="3">
        <v>9589</v>
      </c>
      <c r="V40" s="3">
        <v>7571</v>
      </c>
      <c r="W40" s="3">
        <v>1009</v>
      </c>
      <c r="X40" s="3">
        <v>2019</v>
      </c>
      <c r="Y40" s="4">
        <f t="shared" si="2"/>
        <v>50470</v>
      </c>
    </row>
    <row r="41" spans="1:25" x14ac:dyDescent="0.25">
      <c r="A41" s="3" t="s">
        <v>45</v>
      </c>
      <c r="B41" s="3" t="s">
        <v>46</v>
      </c>
      <c r="C41" s="3" t="s">
        <v>79</v>
      </c>
      <c r="D41" s="3" t="s">
        <v>80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f t="shared" si="0"/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f t="shared" si="1"/>
        <v>0</v>
      </c>
      <c r="S41" s="3">
        <v>37405</v>
      </c>
      <c r="T41" s="3">
        <v>32729</v>
      </c>
      <c r="U41" s="3">
        <v>22209</v>
      </c>
      <c r="V41" s="3">
        <v>17534</v>
      </c>
      <c r="W41" s="3">
        <v>2338</v>
      </c>
      <c r="X41" s="3">
        <v>4675</v>
      </c>
      <c r="Y41" s="4">
        <f t="shared" si="2"/>
        <v>116890</v>
      </c>
    </row>
    <row r="42" spans="1:25" x14ac:dyDescent="0.25">
      <c r="A42" s="3" t="s">
        <v>45</v>
      </c>
      <c r="B42" s="3" t="s">
        <v>46</v>
      </c>
      <c r="C42" s="3" t="s">
        <v>81</v>
      </c>
      <c r="D42" s="3" t="s">
        <v>82</v>
      </c>
      <c r="E42" s="3">
        <v>2094</v>
      </c>
      <c r="F42" s="3">
        <v>1658</v>
      </c>
      <c r="G42" s="3">
        <v>697</v>
      </c>
      <c r="H42" s="3">
        <v>589</v>
      </c>
      <c r="I42" s="3">
        <v>155</v>
      </c>
      <c r="J42" s="3">
        <v>129</v>
      </c>
      <c r="K42" s="3">
        <f t="shared" si="0"/>
        <v>5322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f t="shared" si="1"/>
        <v>0</v>
      </c>
      <c r="S42" s="3">
        <v>49585</v>
      </c>
      <c r="T42" s="3">
        <v>43387</v>
      </c>
      <c r="U42" s="3">
        <v>29441</v>
      </c>
      <c r="V42" s="3">
        <v>23243</v>
      </c>
      <c r="W42" s="3">
        <v>3099</v>
      </c>
      <c r="X42" s="3">
        <v>6198</v>
      </c>
      <c r="Y42" s="4">
        <f t="shared" si="2"/>
        <v>154953</v>
      </c>
    </row>
    <row r="43" spans="1:25" x14ac:dyDescent="0.25">
      <c r="A43" s="3" t="s">
        <v>45</v>
      </c>
      <c r="B43" s="3" t="s">
        <v>46</v>
      </c>
      <c r="C43" s="3" t="s">
        <v>83</v>
      </c>
      <c r="D43" s="3" t="s">
        <v>84</v>
      </c>
      <c r="E43" s="3">
        <v>12306</v>
      </c>
      <c r="F43" s="3">
        <v>10184</v>
      </c>
      <c r="G43" s="3">
        <v>9476</v>
      </c>
      <c r="H43" s="3">
        <v>7887</v>
      </c>
      <c r="I43" s="3">
        <v>488</v>
      </c>
      <c r="J43" s="3">
        <v>426</v>
      </c>
      <c r="K43" s="3">
        <f t="shared" si="0"/>
        <v>40767</v>
      </c>
      <c r="L43" s="3">
        <v>6484</v>
      </c>
      <c r="M43" s="3">
        <v>5498</v>
      </c>
      <c r="N43" s="3">
        <v>4343</v>
      </c>
      <c r="O43" s="3">
        <v>3795</v>
      </c>
      <c r="P43" s="3">
        <v>292</v>
      </c>
      <c r="Q43" s="3">
        <v>253</v>
      </c>
      <c r="R43" s="3">
        <f t="shared" si="1"/>
        <v>20665</v>
      </c>
      <c r="S43" s="3">
        <v>14296</v>
      </c>
      <c r="T43" s="3">
        <v>12509</v>
      </c>
      <c r="U43" s="3">
        <v>8488</v>
      </c>
      <c r="V43" s="3">
        <v>6701</v>
      </c>
      <c r="W43" s="3">
        <v>893</v>
      </c>
      <c r="X43" s="3">
        <v>1787</v>
      </c>
      <c r="Y43" s="4">
        <f t="shared" si="2"/>
        <v>44674</v>
      </c>
    </row>
    <row r="44" spans="1:25" x14ac:dyDescent="0.25">
      <c r="A44" s="3" t="s">
        <v>45</v>
      </c>
      <c r="B44" s="3" t="s">
        <v>46</v>
      </c>
      <c r="C44" s="3" t="s">
        <v>85</v>
      </c>
      <c r="D44" s="3" t="s">
        <v>86</v>
      </c>
      <c r="E44" s="3">
        <v>13667</v>
      </c>
      <c r="F44" s="3">
        <v>9154</v>
      </c>
      <c r="G44" s="3">
        <v>8428</v>
      </c>
      <c r="H44" s="3">
        <v>5628</v>
      </c>
      <c r="I44" s="3">
        <v>675</v>
      </c>
      <c r="J44" s="3">
        <v>456</v>
      </c>
      <c r="K44" s="3">
        <f t="shared" si="0"/>
        <v>38008</v>
      </c>
      <c r="L44" s="3">
        <v>4091</v>
      </c>
      <c r="M44" s="3">
        <v>2830</v>
      </c>
      <c r="N44" s="3">
        <v>2604</v>
      </c>
      <c r="O44" s="3">
        <v>1785</v>
      </c>
      <c r="P44" s="3">
        <v>207</v>
      </c>
      <c r="Q44" s="3">
        <v>147</v>
      </c>
      <c r="R44" s="3">
        <f t="shared" si="1"/>
        <v>11664</v>
      </c>
      <c r="S44" s="3">
        <v>53929</v>
      </c>
      <c r="T44" s="3">
        <v>47188</v>
      </c>
      <c r="U44" s="3">
        <v>32020</v>
      </c>
      <c r="V44" s="3">
        <v>25279</v>
      </c>
      <c r="W44" s="3">
        <v>3371</v>
      </c>
      <c r="X44" s="3">
        <v>6742</v>
      </c>
      <c r="Y44" s="4">
        <f t="shared" si="2"/>
        <v>168529</v>
      </c>
    </row>
    <row r="45" spans="1:25" x14ac:dyDescent="0.25">
      <c r="A45" s="3" t="s">
        <v>45</v>
      </c>
      <c r="B45" s="3" t="s">
        <v>46</v>
      </c>
      <c r="C45" s="3" t="s">
        <v>87</v>
      </c>
      <c r="D45" s="3" t="s">
        <v>88</v>
      </c>
      <c r="E45" s="3">
        <v>70300</v>
      </c>
      <c r="F45" s="3">
        <v>57268</v>
      </c>
      <c r="G45" s="3">
        <v>45767</v>
      </c>
      <c r="H45" s="3">
        <v>37378</v>
      </c>
      <c r="I45" s="3">
        <v>3859</v>
      </c>
      <c r="J45" s="3">
        <v>3165</v>
      </c>
      <c r="K45" s="3">
        <f t="shared" si="0"/>
        <v>217737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f t="shared" si="1"/>
        <v>0</v>
      </c>
      <c r="S45" s="3">
        <v>202010</v>
      </c>
      <c r="T45" s="3">
        <v>176759</v>
      </c>
      <c r="U45" s="3">
        <v>119944</v>
      </c>
      <c r="V45" s="3">
        <v>94693</v>
      </c>
      <c r="W45" s="3">
        <v>12626</v>
      </c>
      <c r="X45" s="3">
        <v>25250</v>
      </c>
      <c r="Y45" s="4">
        <f t="shared" si="2"/>
        <v>631282</v>
      </c>
    </row>
    <row r="46" spans="1:25" x14ac:dyDescent="0.25">
      <c r="A46" s="3" t="s">
        <v>45</v>
      </c>
      <c r="B46" s="3" t="s">
        <v>46</v>
      </c>
      <c r="C46" s="3" t="s">
        <v>89</v>
      </c>
      <c r="D46" s="3" t="s">
        <v>90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f t="shared" si="0"/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f t="shared" si="1"/>
        <v>0</v>
      </c>
      <c r="S46" s="3">
        <v>29578</v>
      </c>
      <c r="T46" s="3">
        <v>25881</v>
      </c>
      <c r="U46" s="3">
        <v>17562</v>
      </c>
      <c r="V46" s="3">
        <v>13865</v>
      </c>
      <c r="W46" s="3">
        <v>1849</v>
      </c>
      <c r="X46" s="3">
        <v>3697</v>
      </c>
      <c r="Y46" s="4">
        <f t="shared" si="2"/>
        <v>92432</v>
      </c>
    </row>
    <row r="47" spans="1:25" x14ac:dyDescent="0.25">
      <c r="A47" s="3" t="s">
        <v>45</v>
      </c>
      <c r="B47" s="3" t="s">
        <v>46</v>
      </c>
      <c r="C47" s="3" t="s">
        <v>91</v>
      </c>
      <c r="D47" s="3" t="s">
        <v>92</v>
      </c>
      <c r="E47" s="3">
        <v>13921</v>
      </c>
      <c r="F47" s="3">
        <v>11484</v>
      </c>
      <c r="G47" s="3">
        <v>10173</v>
      </c>
      <c r="H47" s="3">
        <v>8325</v>
      </c>
      <c r="I47" s="3">
        <v>1592</v>
      </c>
      <c r="J47" s="3">
        <v>1291</v>
      </c>
      <c r="K47" s="3">
        <f t="shared" si="0"/>
        <v>46786</v>
      </c>
      <c r="L47" s="3">
        <v>23442</v>
      </c>
      <c r="M47" s="3">
        <v>19570</v>
      </c>
      <c r="N47" s="3">
        <v>17314</v>
      </c>
      <c r="O47" s="3">
        <v>14449</v>
      </c>
      <c r="P47" s="3">
        <v>1604</v>
      </c>
      <c r="Q47" s="3">
        <v>1341</v>
      </c>
      <c r="R47" s="3">
        <f t="shared" si="1"/>
        <v>77720</v>
      </c>
      <c r="S47" s="3">
        <v>30423</v>
      </c>
      <c r="T47" s="3">
        <v>26620</v>
      </c>
      <c r="U47" s="3">
        <v>18064</v>
      </c>
      <c r="V47" s="3">
        <v>14261</v>
      </c>
      <c r="W47" s="3">
        <v>1901</v>
      </c>
      <c r="X47" s="3">
        <v>3804</v>
      </c>
      <c r="Y47" s="4">
        <f t="shared" si="2"/>
        <v>95073</v>
      </c>
    </row>
    <row r="48" spans="1:25" x14ac:dyDescent="0.25">
      <c r="A48" s="3" t="s">
        <v>45</v>
      </c>
      <c r="B48" s="3" t="s">
        <v>46</v>
      </c>
      <c r="C48" s="3" t="s">
        <v>93</v>
      </c>
      <c r="D48" s="3" t="s">
        <v>94</v>
      </c>
      <c r="E48" s="3">
        <v>49861</v>
      </c>
      <c r="F48" s="3">
        <v>40467</v>
      </c>
      <c r="G48" s="3">
        <v>38239</v>
      </c>
      <c r="H48" s="3">
        <v>28518</v>
      </c>
      <c r="I48" s="3">
        <v>6619</v>
      </c>
      <c r="J48" s="3">
        <v>3384</v>
      </c>
      <c r="K48" s="3">
        <f t="shared" si="0"/>
        <v>167088</v>
      </c>
      <c r="L48" s="3">
        <v>14657</v>
      </c>
      <c r="M48" s="3">
        <v>13450</v>
      </c>
      <c r="N48" s="3">
        <v>10345</v>
      </c>
      <c r="O48" s="3">
        <v>8013</v>
      </c>
      <c r="P48" s="3">
        <v>1380</v>
      </c>
      <c r="Q48" s="3">
        <v>2228</v>
      </c>
      <c r="R48" s="3">
        <f t="shared" si="1"/>
        <v>50073</v>
      </c>
      <c r="S48" s="3">
        <v>426</v>
      </c>
      <c r="T48" s="3">
        <v>372</v>
      </c>
      <c r="U48" s="3">
        <v>253</v>
      </c>
      <c r="V48" s="3">
        <v>200</v>
      </c>
      <c r="W48" s="3">
        <v>27</v>
      </c>
      <c r="X48" s="3">
        <v>52</v>
      </c>
      <c r="Y48" s="4">
        <f t="shared" si="2"/>
        <v>1330</v>
      </c>
    </row>
    <row r="49" spans="1:25" x14ac:dyDescent="0.25">
      <c r="A49" s="3" t="s">
        <v>45</v>
      </c>
      <c r="B49" s="3" t="s">
        <v>46</v>
      </c>
      <c r="C49" s="3" t="s">
        <v>95</v>
      </c>
      <c r="D49" s="3" t="s">
        <v>96</v>
      </c>
      <c r="E49" s="3">
        <v>36957</v>
      </c>
      <c r="F49" s="3">
        <v>26558</v>
      </c>
      <c r="G49" s="3">
        <v>19640</v>
      </c>
      <c r="H49" s="3">
        <v>15148</v>
      </c>
      <c r="I49" s="3">
        <v>2978</v>
      </c>
      <c r="J49" s="3">
        <v>3043</v>
      </c>
      <c r="K49" s="3">
        <f t="shared" si="0"/>
        <v>104324</v>
      </c>
      <c r="L49" s="3">
        <v>37871</v>
      </c>
      <c r="M49" s="3">
        <v>29912</v>
      </c>
      <c r="N49" s="3">
        <v>21461</v>
      </c>
      <c r="O49" s="3">
        <v>16258</v>
      </c>
      <c r="P49" s="3">
        <v>4131</v>
      </c>
      <c r="Q49" s="3">
        <v>3575</v>
      </c>
      <c r="R49" s="3">
        <f t="shared" si="1"/>
        <v>113208</v>
      </c>
      <c r="S49" s="3">
        <v>15186</v>
      </c>
      <c r="T49" s="3">
        <v>13288</v>
      </c>
      <c r="U49" s="3">
        <v>9017</v>
      </c>
      <c r="V49" s="3">
        <v>7118</v>
      </c>
      <c r="W49" s="3">
        <v>949</v>
      </c>
      <c r="X49" s="3">
        <v>1898</v>
      </c>
      <c r="Y49" s="4">
        <f t="shared" si="2"/>
        <v>47456</v>
      </c>
    </row>
    <row r="50" spans="1:25" x14ac:dyDescent="0.25">
      <c r="A50" s="3" t="s">
        <v>45</v>
      </c>
      <c r="B50" s="3" t="s">
        <v>46</v>
      </c>
      <c r="C50" s="3" t="s">
        <v>97</v>
      </c>
      <c r="D50" s="3" t="s">
        <v>98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f t="shared" si="0"/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f t="shared" si="1"/>
        <v>0</v>
      </c>
      <c r="S50" s="3">
        <v>33654</v>
      </c>
      <c r="T50" s="3">
        <v>29447</v>
      </c>
      <c r="U50" s="3">
        <v>19982</v>
      </c>
      <c r="V50" s="3">
        <v>15775</v>
      </c>
      <c r="W50" s="3">
        <v>2103</v>
      </c>
      <c r="X50" s="3">
        <v>4208</v>
      </c>
      <c r="Y50" s="4">
        <f t="shared" si="2"/>
        <v>105169</v>
      </c>
    </row>
    <row r="51" spans="1:25" x14ac:dyDescent="0.25">
      <c r="A51" s="3" t="s">
        <v>45</v>
      </c>
      <c r="B51" s="3" t="s">
        <v>46</v>
      </c>
      <c r="C51" s="3" t="s">
        <v>99</v>
      </c>
      <c r="D51" s="3" t="s">
        <v>100</v>
      </c>
      <c r="E51" s="3">
        <v>1080</v>
      </c>
      <c r="F51" s="3">
        <v>925</v>
      </c>
      <c r="G51" s="3">
        <v>601</v>
      </c>
      <c r="H51" s="3">
        <v>516</v>
      </c>
      <c r="I51" s="3">
        <v>42</v>
      </c>
      <c r="J51" s="3">
        <v>47</v>
      </c>
      <c r="K51" s="3">
        <f t="shared" si="0"/>
        <v>3211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f t="shared" si="1"/>
        <v>0</v>
      </c>
      <c r="S51" s="3">
        <v>75391</v>
      </c>
      <c r="T51" s="3">
        <v>65967</v>
      </c>
      <c r="U51" s="3">
        <v>44763</v>
      </c>
      <c r="V51" s="3">
        <v>35339</v>
      </c>
      <c r="W51" s="3">
        <v>4712</v>
      </c>
      <c r="X51" s="3">
        <v>9424</v>
      </c>
      <c r="Y51" s="4">
        <f t="shared" si="2"/>
        <v>235596</v>
      </c>
    </row>
    <row r="52" spans="1:25" x14ac:dyDescent="0.25">
      <c r="A52" s="3" t="s">
        <v>101</v>
      </c>
      <c r="B52" s="3" t="s">
        <v>102</v>
      </c>
      <c r="C52" s="3" t="s">
        <v>103</v>
      </c>
      <c r="D52" s="3" t="s">
        <v>104</v>
      </c>
      <c r="E52" s="3">
        <v>5773</v>
      </c>
      <c r="F52" s="3">
        <v>4922</v>
      </c>
      <c r="G52" s="3">
        <v>5978</v>
      </c>
      <c r="H52" s="3">
        <v>5123</v>
      </c>
      <c r="I52" s="3">
        <v>519</v>
      </c>
      <c r="J52" s="3">
        <v>443</v>
      </c>
      <c r="K52" s="3">
        <f t="shared" si="0"/>
        <v>22758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f t="shared" si="1"/>
        <v>0</v>
      </c>
      <c r="S52" s="3">
        <v>67556</v>
      </c>
      <c r="T52" s="3">
        <v>59111</v>
      </c>
      <c r="U52" s="3">
        <v>40111</v>
      </c>
      <c r="V52" s="3">
        <v>31667</v>
      </c>
      <c r="W52" s="3">
        <v>4222</v>
      </c>
      <c r="X52" s="3">
        <v>8444</v>
      </c>
      <c r="Y52" s="4">
        <f t="shared" si="2"/>
        <v>211111</v>
      </c>
    </row>
    <row r="53" spans="1:25" x14ac:dyDescent="0.25">
      <c r="A53" s="3" t="s">
        <v>101</v>
      </c>
      <c r="B53" s="3" t="s">
        <v>102</v>
      </c>
      <c r="C53" s="3" t="s">
        <v>105</v>
      </c>
      <c r="D53" s="3" t="s">
        <v>106</v>
      </c>
      <c r="E53" s="3">
        <v>1453</v>
      </c>
      <c r="F53" s="3">
        <v>1073</v>
      </c>
      <c r="G53" s="3">
        <v>1450</v>
      </c>
      <c r="H53" s="3">
        <v>926</v>
      </c>
      <c r="I53" s="3">
        <v>49</v>
      </c>
      <c r="J53" s="3">
        <v>27</v>
      </c>
      <c r="K53" s="3">
        <f t="shared" si="0"/>
        <v>4978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f t="shared" si="1"/>
        <v>0</v>
      </c>
      <c r="S53" s="3">
        <v>69380</v>
      </c>
      <c r="T53" s="3">
        <v>60708</v>
      </c>
      <c r="U53" s="3">
        <v>41194</v>
      </c>
      <c r="V53" s="3">
        <v>32522</v>
      </c>
      <c r="W53" s="3">
        <v>4336</v>
      </c>
      <c r="X53" s="3">
        <v>8673</v>
      </c>
      <c r="Y53" s="4">
        <f t="shared" si="2"/>
        <v>216813</v>
      </c>
    </row>
    <row r="54" spans="1:25" x14ac:dyDescent="0.25">
      <c r="A54" s="3" t="s">
        <v>101</v>
      </c>
      <c r="B54" s="3" t="s">
        <v>102</v>
      </c>
      <c r="C54" s="3" t="s">
        <v>107</v>
      </c>
      <c r="D54" s="3" t="s">
        <v>108</v>
      </c>
      <c r="E54" s="3">
        <v>6726</v>
      </c>
      <c r="F54" s="3">
        <v>5631</v>
      </c>
      <c r="G54" s="3">
        <v>6772</v>
      </c>
      <c r="H54" s="3">
        <v>4578</v>
      </c>
      <c r="I54" s="3">
        <v>633</v>
      </c>
      <c r="J54" s="3">
        <v>538</v>
      </c>
      <c r="K54" s="3">
        <f t="shared" si="0"/>
        <v>24878</v>
      </c>
      <c r="L54" s="3">
        <v>1402</v>
      </c>
      <c r="M54" s="3">
        <v>1196</v>
      </c>
      <c r="N54" s="3">
        <v>1541</v>
      </c>
      <c r="O54" s="3">
        <v>1138</v>
      </c>
      <c r="P54" s="3">
        <v>110</v>
      </c>
      <c r="Q54" s="3">
        <v>94</v>
      </c>
      <c r="R54" s="3">
        <f t="shared" si="1"/>
        <v>5481</v>
      </c>
      <c r="S54" s="3">
        <v>107963</v>
      </c>
      <c r="T54" s="3">
        <v>94468</v>
      </c>
      <c r="U54" s="3">
        <v>64103</v>
      </c>
      <c r="V54" s="3">
        <v>50608</v>
      </c>
      <c r="W54" s="3">
        <v>6748</v>
      </c>
      <c r="X54" s="3">
        <v>13495</v>
      </c>
      <c r="Y54" s="4">
        <f t="shared" si="2"/>
        <v>337385</v>
      </c>
    </row>
    <row r="55" spans="1:25" x14ac:dyDescent="0.25">
      <c r="A55" s="3" t="s">
        <v>101</v>
      </c>
      <c r="B55" s="3" t="s">
        <v>102</v>
      </c>
      <c r="C55" s="3" t="s">
        <v>109</v>
      </c>
      <c r="D55" s="3" t="s">
        <v>110</v>
      </c>
      <c r="E55" s="3">
        <v>1300</v>
      </c>
      <c r="F55" s="3">
        <v>1075</v>
      </c>
      <c r="G55" s="3">
        <v>800</v>
      </c>
      <c r="H55" s="3">
        <v>667</v>
      </c>
      <c r="I55" s="3">
        <v>110</v>
      </c>
      <c r="J55" s="3">
        <v>85</v>
      </c>
      <c r="K55" s="3">
        <f t="shared" si="0"/>
        <v>4037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f t="shared" si="1"/>
        <v>0</v>
      </c>
      <c r="S55" s="3">
        <v>101773</v>
      </c>
      <c r="T55" s="3">
        <v>89052</v>
      </c>
      <c r="U55" s="3">
        <v>60428</v>
      </c>
      <c r="V55" s="3">
        <v>47706</v>
      </c>
      <c r="W55" s="3">
        <v>6361</v>
      </c>
      <c r="X55" s="3">
        <v>12722</v>
      </c>
      <c r="Y55" s="4">
        <f t="shared" si="2"/>
        <v>318042</v>
      </c>
    </row>
    <row r="56" spans="1:25" x14ac:dyDescent="0.25">
      <c r="A56" s="3" t="s">
        <v>101</v>
      </c>
      <c r="B56" s="3" t="s">
        <v>102</v>
      </c>
      <c r="C56" s="3" t="s">
        <v>111</v>
      </c>
      <c r="D56" s="3" t="s">
        <v>112</v>
      </c>
      <c r="E56" s="3">
        <v>1263</v>
      </c>
      <c r="F56" s="3">
        <v>953</v>
      </c>
      <c r="G56" s="3">
        <v>786</v>
      </c>
      <c r="H56" s="3">
        <v>601</v>
      </c>
      <c r="I56" s="3">
        <v>101</v>
      </c>
      <c r="J56" s="3">
        <v>90</v>
      </c>
      <c r="K56" s="3">
        <f t="shared" si="0"/>
        <v>3794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f t="shared" si="1"/>
        <v>0</v>
      </c>
      <c r="S56" s="3">
        <v>163402</v>
      </c>
      <c r="T56" s="3">
        <v>142977</v>
      </c>
      <c r="U56" s="3">
        <v>97020</v>
      </c>
      <c r="V56" s="3">
        <v>76595</v>
      </c>
      <c r="W56" s="3">
        <v>10213</v>
      </c>
      <c r="X56" s="3">
        <v>20424</v>
      </c>
      <c r="Y56" s="4">
        <f t="shared" si="2"/>
        <v>510631</v>
      </c>
    </row>
    <row r="57" spans="1:25" x14ac:dyDescent="0.25">
      <c r="A57" s="3" t="s">
        <v>101</v>
      </c>
      <c r="B57" s="3" t="s">
        <v>102</v>
      </c>
      <c r="C57" s="3" t="s">
        <v>113</v>
      </c>
      <c r="D57" s="3" t="s">
        <v>114</v>
      </c>
      <c r="E57" s="3">
        <v>7907</v>
      </c>
      <c r="F57" s="3">
        <v>2790</v>
      </c>
      <c r="G57" s="3">
        <v>480</v>
      </c>
      <c r="H57" s="3">
        <v>1019</v>
      </c>
      <c r="I57" s="3">
        <v>413</v>
      </c>
      <c r="J57" s="3">
        <v>1097</v>
      </c>
      <c r="K57" s="3">
        <f t="shared" si="0"/>
        <v>13706</v>
      </c>
      <c r="L57" s="3">
        <v>91623</v>
      </c>
      <c r="M57" s="3">
        <v>42928</v>
      </c>
      <c r="N57" s="3">
        <v>11553</v>
      </c>
      <c r="O57" s="3">
        <v>26137</v>
      </c>
      <c r="P57" s="3">
        <v>3866</v>
      </c>
      <c r="Q57" s="3">
        <v>12398</v>
      </c>
      <c r="R57" s="3">
        <f t="shared" si="1"/>
        <v>188505</v>
      </c>
      <c r="S57" s="3">
        <v>38116</v>
      </c>
      <c r="T57" s="3">
        <v>33352</v>
      </c>
      <c r="U57" s="3">
        <v>22632</v>
      </c>
      <c r="V57" s="3">
        <v>17867</v>
      </c>
      <c r="W57" s="3">
        <v>2382</v>
      </c>
      <c r="X57" s="3">
        <v>4765</v>
      </c>
      <c r="Y57" s="4">
        <f t="shared" si="2"/>
        <v>119114</v>
      </c>
    </row>
    <row r="58" spans="1:25" x14ac:dyDescent="0.25">
      <c r="A58" s="3" t="s">
        <v>101</v>
      </c>
      <c r="B58" s="3" t="s">
        <v>102</v>
      </c>
      <c r="C58" s="3" t="s">
        <v>115</v>
      </c>
      <c r="D58" s="3" t="s">
        <v>116</v>
      </c>
      <c r="E58" s="3">
        <v>18089</v>
      </c>
      <c r="F58" s="3">
        <v>14826</v>
      </c>
      <c r="G58" s="3">
        <v>5904</v>
      </c>
      <c r="H58" s="3">
        <v>5312</v>
      </c>
      <c r="I58" s="3">
        <v>1747</v>
      </c>
      <c r="J58" s="3">
        <v>1349</v>
      </c>
      <c r="K58" s="3">
        <f t="shared" si="0"/>
        <v>47227</v>
      </c>
      <c r="L58" s="3">
        <v>23762</v>
      </c>
      <c r="M58" s="3">
        <v>20958</v>
      </c>
      <c r="N58" s="3">
        <v>11874</v>
      </c>
      <c r="O58" s="3">
        <v>8118</v>
      </c>
      <c r="P58" s="3">
        <v>1905</v>
      </c>
      <c r="Q58" s="3">
        <v>1377</v>
      </c>
      <c r="R58" s="3">
        <f t="shared" si="1"/>
        <v>67994</v>
      </c>
      <c r="S58" s="3">
        <v>39593</v>
      </c>
      <c r="T58" s="3">
        <v>34644</v>
      </c>
      <c r="U58" s="3">
        <v>23508</v>
      </c>
      <c r="V58" s="3">
        <v>18559</v>
      </c>
      <c r="W58" s="3">
        <v>2475</v>
      </c>
      <c r="X58" s="3">
        <v>4948</v>
      </c>
      <c r="Y58" s="4">
        <f t="shared" si="2"/>
        <v>123727</v>
      </c>
    </row>
    <row r="59" spans="1:25" x14ac:dyDescent="0.25">
      <c r="A59" s="3" t="s">
        <v>101</v>
      </c>
      <c r="B59" s="3" t="s">
        <v>102</v>
      </c>
      <c r="C59" s="3" t="s">
        <v>117</v>
      </c>
      <c r="D59" s="3" t="s">
        <v>118</v>
      </c>
      <c r="E59" s="3">
        <v>618</v>
      </c>
      <c r="F59" s="3">
        <v>453</v>
      </c>
      <c r="G59" s="3">
        <v>621</v>
      </c>
      <c r="H59" s="3">
        <v>402</v>
      </c>
      <c r="I59" s="3">
        <v>24</v>
      </c>
      <c r="J59" s="3">
        <v>14</v>
      </c>
      <c r="K59" s="3">
        <f t="shared" si="0"/>
        <v>2132</v>
      </c>
      <c r="L59" s="3">
        <v>27598</v>
      </c>
      <c r="M59" s="3">
        <v>25708</v>
      </c>
      <c r="N59" s="3">
        <v>13606</v>
      </c>
      <c r="O59" s="3">
        <v>13007</v>
      </c>
      <c r="P59" s="3">
        <v>709</v>
      </c>
      <c r="Q59" s="3">
        <v>682</v>
      </c>
      <c r="R59" s="3">
        <f t="shared" si="1"/>
        <v>81310</v>
      </c>
      <c r="S59" s="3">
        <v>65894</v>
      </c>
      <c r="T59" s="3">
        <v>57657</v>
      </c>
      <c r="U59" s="3">
        <v>39125</v>
      </c>
      <c r="V59" s="3">
        <v>30888</v>
      </c>
      <c r="W59" s="3">
        <v>4118</v>
      </c>
      <c r="X59" s="3">
        <v>8237</v>
      </c>
      <c r="Y59" s="4">
        <f t="shared" si="2"/>
        <v>205919</v>
      </c>
    </row>
    <row r="60" spans="1:25" x14ac:dyDescent="0.25">
      <c r="A60" s="3" t="s">
        <v>101</v>
      </c>
      <c r="B60" s="3" t="s">
        <v>102</v>
      </c>
      <c r="C60" s="3" t="s">
        <v>119</v>
      </c>
      <c r="D60" s="3" t="s">
        <v>120</v>
      </c>
      <c r="E60" s="3">
        <v>872</v>
      </c>
      <c r="F60" s="3">
        <v>696</v>
      </c>
      <c r="G60" s="3">
        <v>663</v>
      </c>
      <c r="H60" s="3">
        <v>431</v>
      </c>
      <c r="I60" s="3">
        <v>62</v>
      </c>
      <c r="J60" s="3">
        <v>64</v>
      </c>
      <c r="K60" s="3">
        <f t="shared" si="0"/>
        <v>2788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f t="shared" si="1"/>
        <v>0</v>
      </c>
      <c r="S60" s="3">
        <v>83746</v>
      </c>
      <c r="T60" s="3">
        <v>73278</v>
      </c>
      <c r="U60" s="3">
        <v>49724</v>
      </c>
      <c r="V60" s="3">
        <v>39256</v>
      </c>
      <c r="W60" s="3">
        <v>5234</v>
      </c>
      <c r="X60" s="3">
        <v>10468</v>
      </c>
      <c r="Y60" s="4">
        <f t="shared" si="2"/>
        <v>261706</v>
      </c>
    </row>
    <row r="61" spans="1:25" x14ac:dyDescent="0.25">
      <c r="A61" s="3" t="s">
        <v>101</v>
      </c>
      <c r="B61" s="3" t="s">
        <v>102</v>
      </c>
      <c r="C61" s="3" t="s">
        <v>121</v>
      </c>
      <c r="D61" s="3" t="s">
        <v>122</v>
      </c>
      <c r="E61" s="3">
        <v>347</v>
      </c>
      <c r="F61" s="3">
        <v>244</v>
      </c>
      <c r="G61" s="3">
        <v>309</v>
      </c>
      <c r="H61" s="3">
        <v>203</v>
      </c>
      <c r="I61" s="3">
        <v>19</v>
      </c>
      <c r="J61" s="3">
        <v>15</v>
      </c>
      <c r="K61" s="3">
        <f t="shared" si="0"/>
        <v>1137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f t="shared" si="1"/>
        <v>0</v>
      </c>
      <c r="S61" s="3">
        <v>51132</v>
      </c>
      <c r="T61" s="3">
        <v>44740</v>
      </c>
      <c r="U61" s="3">
        <v>30360</v>
      </c>
      <c r="V61" s="3">
        <v>23968</v>
      </c>
      <c r="W61" s="3">
        <v>3196</v>
      </c>
      <c r="X61" s="3">
        <v>6391</v>
      </c>
      <c r="Y61" s="4">
        <f t="shared" si="2"/>
        <v>159787</v>
      </c>
    </row>
    <row r="62" spans="1:25" x14ac:dyDescent="0.25">
      <c r="A62" s="3" t="s">
        <v>101</v>
      </c>
      <c r="B62" s="3" t="s">
        <v>102</v>
      </c>
      <c r="C62" s="3" t="s">
        <v>123</v>
      </c>
      <c r="D62" s="3" t="s">
        <v>124</v>
      </c>
      <c r="E62" s="3">
        <v>877</v>
      </c>
      <c r="F62" s="3">
        <v>360</v>
      </c>
      <c r="G62" s="3">
        <v>69</v>
      </c>
      <c r="H62" s="3">
        <v>213</v>
      </c>
      <c r="I62" s="3">
        <v>59</v>
      </c>
      <c r="J62" s="3">
        <v>202</v>
      </c>
      <c r="K62" s="3">
        <f t="shared" si="0"/>
        <v>1780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f t="shared" si="1"/>
        <v>0</v>
      </c>
      <c r="S62" s="3">
        <v>55811</v>
      </c>
      <c r="T62" s="3">
        <v>48835</v>
      </c>
      <c r="U62" s="3">
        <v>33138</v>
      </c>
      <c r="V62" s="3">
        <v>26161</v>
      </c>
      <c r="W62" s="3">
        <v>3488</v>
      </c>
      <c r="X62" s="3">
        <v>6976</v>
      </c>
      <c r="Y62" s="4">
        <f t="shared" si="2"/>
        <v>174409</v>
      </c>
    </row>
    <row r="63" spans="1:25" x14ac:dyDescent="0.25">
      <c r="A63" s="3" t="s">
        <v>101</v>
      </c>
      <c r="B63" s="3" t="s">
        <v>102</v>
      </c>
      <c r="C63" s="3" t="s">
        <v>125</v>
      </c>
      <c r="D63" s="3" t="s">
        <v>126</v>
      </c>
      <c r="E63" s="3">
        <v>506</v>
      </c>
      <c r="F63" s="3">
        <v>437</v>
      </c>
      <c r="G63" s="3">
        <v>418</v>
      </c>
      <c r="H63" s="3">
        <v>315</v>
      </c>
      <c r="I63" s="3">
        <v>68</v>
      </c>
      <c r="J63" s="3">
        <v>55</v>
      </c>
      <c r="K63" s="3">
        <f t="shared" si="0"/>
        <v>1799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f t="shared" si="1"/>
        <v>0</v>
      </c>
      <c r="S63" s="3">
        <v>61734</v>
      </c>
      <c r="T63" s="3">
        <v>54017</v>
      </c>
      <c r="U63" s="3">
        <v>36655</v>
      </c>
      <c r="V63" s="3">
        <v>28938</v>
      </c>
      <c r="W63" s="3">
        <v>3858</v>
      </c>
      <c r="X63" s="3">
        <v>7717</v>
      </c>
      <c r="Y63" s="4">
        <f t="shared" si="2"/>
        <v>192919</v>
      </c>
    </row>
    <row r="64" spans="1:25" x14ac:dyDescent="0.25">
      <c r="A64" s="3" t="s">
        <v>101</v>
      </c>
      <c r="B64" s="3" t="s">
        <v>102</v>
      </c>
      <c r="C64" s="3" t="s">
        <v>127</v>
      </c>
      <c r="D64" s="3" t="s">
        <v>128</v>
      </c>
      <c r="E64" s="3">
        <v>3938</v>
      </c>
      <c r="F64" s="3">
        <v>1554</v>
      </c>
      <c r="G64" s="3">
        <v>49</v>
      </c>
      <c r="H64" s="3">
        <v>430</v>
      </c>
      <c r="I64" s="3">
        <v>92</v>
      </c>
      <c r="J64" s="3">
        <v>589</v>
      </c>
      <c r="K64" s="3">
        <f t="shared" si="0"/>
        <v>6652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f t="shared" si="1"/>
        <v>0</v>
      </c>
      <c r="S64" s="3">
        <v>70505</v>
      </c>
      <c r="T64" s="3">
        <v>61692</v>
      </c>
      <c r="U64" s="3">
        <v>41862</v>
      </c>
      <c r="V64" s="3">
        <v>33049</v>
      </c>
      <c r="W64" s="3">
        <v>4407</v>
      </c>
      <c r="X64" s="3">
        <v>8812</v>
      </c>
      <c r="Y64" s="4">
        <f t="shared" si="2"/>
        <v>220327</v>
      </c>
    </row>
    <row r="65" spans="1:25" x14ac:dyDescent="0.25">
      <c r="A65" s="3" t="s">
        <v>101</v>
      </c>
      <c r="B65" s="3" t="s">
        <v>102</v>
      </c>
      <c r="C65" s="3" t="s">
        <v>129</v>
      </c>
      <c r="D65" s="3" t="s">
        <v>130</v>
      </c>
      <c r="E65" s="3">
        <v>3236</v>
      </c>
      <c r="F65" s="3">
        <v>2990</v>
      </c>
      <c r="G65" s="3">
        <v>1630</v>
      </c>
      <c r="H65" s="3">
        <v>1455</v>
      </c>
      <c r="I65" s="3">
        <v>368</v>
      </c>
      <c r="J65" s="3">
        <v>336</v>
      </c>
      <c r="K65" s="3">
        <f t="shared" si="0"/>
        <v>10015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f t="shared" si="1"/>
        <v>0</v>
      </c>
      <c r="S65" s="3">
        <v>160580</v>
      </c>
      <c r="T65" s="3">
        <v>140507</v>
      </c>
      <c r="U65" s="3">
        <v>95344</v>
      </c>
      <c r="V65" s="3">
        <v>75272</v>
      </c>
      <c r="W65" s="3">
        <v>10036</v>
      </c>
      <c r="X65" s="3">
        <v>20072</v>
      </c>
      <c r="Y65" s="4">
        <f t="shared" si="2"/>
        <v>501811</v>
      </c>
    </row>
    <row r="66" spans="1:25" x14ac:dyDescent="0.25">
      <c r="A66" s="3" t="s">
        <v>101</v>
      </c>
      <c r="B66" s="3" t="s">
        <v>102</v>
      </c>
      <c r="C66" s="3" t="s">
        <v>131</v>
      </c>
      <c r="D66" s="3" t="s">
        <v>132</v>
      </c>
      <c r="E66" s="3">
        <v>1174</v>
      </c>
      <c r="F66" s="3">
        <v>1072</v>
      </c>
      <c r="G66" s="3">
        <v>725</v>
      </c>
      <c r="H66" s="3">
        <v>555</v>
      </c>
      <c r="I66" s="3">
        <v>76</v>
      </c>
      <c r="J66" s="3">
        <v>72</v>
      </c>
      <c r="K66" s="3">
        <f t="shared" si="0"/>
        <v>3674</v>
      </c>
      <c r="L66" s="3">
        <v>175</v>
      </c>
      <c r="M66" s="3">
        <v>153</v>
      </c>
      <c r="N66" s="3">
        <v>144</v>
      </c>
      <c r="O66" s="3">
        <v>132</v>
      </c>
      <c r="P66" s="3">
        <v>13</v>
      </c>
      <c r="Q66" s="3">
        <v>17</v>
      </c>
      <c r="R66" s="3">
        <f t="shared" si="1"/>
        <v>634</v>
      </c>
      <c r="S66" s="3">
        <v>67530</v>
      </c>
      <c r="T66" s="3">
        <v>59088</v>
      </c>
      <c r="U66" s="3">
        <v>40096</v>
      </c>
      <c r="V66" s="3">
        <v>31655</v>
      </c>
      <c r="W66" s="3">
        <v>4221</v>
      </c>
      <c r="X66" s="3">
        <v>8440</v>
      </c>
      <c r="Y66" s="4">
        <f t="shared" si="2"/>
        <v>211030</v>
      </c>
    </row>
    <row r="67" spans="1:25" x14ac:dyDescent="0.25">
      <c r="A67" s="3" t="s">
        <v>101</v>
      </c>
      <c r="B67" s="3" t="s">
        <v>102</v>
      </c>
      <c r="C67" s="3" t="s">
        <v>133</v>
      </c>
      <c r="D67" s="3" t="s">
        <v>134</v>
      </c>
      <c r="E67" s="3">
        <v>784</v>
      </c>
      <c r="F67" s="3">
        <v>613</v>
      </c>
      <c r="G67" s="3">
        <v>383</v>
      </c>
      <c r="H67" s="3">
        <v>284</v>
      </c>
      <c r="I67" s="3">
        <v>19</v>
      </c>
      <c r="J67" s="3">
        <v>18</v>
      </c>
      <c r="K67" s="3">
        <f t="shared" si="0"/>
        <v>2101</v>
      </c>
      <c r="L67" s="3">
        <v>3707</v>
      </c>
      <c r="M67" s="3">
        <v>2809</v>
      </c>
      <c r="N67" s="3">
        <v>1543</v>
      </c>
      <c r="O67" s="3">
        <v>1278</v>
      </c>
      <c r="P67" s="3">
        <v>146</v>
      </c>
      <c r="Q67" s="3">
        <v>119</v>
      </c>
      <c r="R67" s="3">
        <f t="shared" si="1"/>
        <v>9602</v>
      </c>
      <c r="S67" s="3">
        <v>91253</v>
      </c>
      <c r="T67" s="3">
        <v>79846</v>
      </c>
      <c r="U67" s="3">
        <v>54182</v>
      </c>
      <c r="V67" s="3">
        <v>42775</v>
      </c>
      <c r="W67" s="3">
        <v>5703</v>
      </c>
      <c r="X67" s="3">
        <v>11407</v>
      </c>
      <c r="Y67" s="4">
        <f t="shared" si="2"/>
        <v>285166</v>
      </c>
    </row>
    <row r="68" spans="1:25" x14ac:dyDescent="0.25">
      <c r="A68" s="3" t="s">
        <v>101</v>
      </c>
      <c r="B68" s="3" t="s">
        <v>102</v>
      </c>
      <c r="C68" s="3" t="s">
        <v>135</v>
      </c>
      <c r="D68" s="3" t="s">
        <v>136</v>
      </c>
      <c r="E68" s="3">
        <v>638</v>
      </c>
      <c r="F68" s="3">
        <v>598</v>
      </c>
      <c r="G68" s="3">
        <v>375</v>
      </c>
      <c r="H68" s="3">
        <v>305</v>
      </c>
      <c r="I68" s="3">
        <v>62</v>
      </c>
      <c r="J68" s="3">
        <v>49</v>
      </c>
      <c r="K68" s="3">
        <f t="shared" si="0"/>
        <v>2027</v>
      </c>
      <c r="L68" s="3">
        <v>453</v>
      </c>
      <c r="M68" s="3">
        <v>441</v>
      </c>
      <c r="N68" s="3">
        <v>538</v>
      </c>
      <c r="O68" s="3">
        <v>423</v>
      </c>
      <c r="P68" s="3">
        <v>35</v>
      </c>
      <c r="Q68" s="3">
        <v>34</v>
      </c>
      <c r="R68" s="3">
        <f t="shared" si="1"/>
        <v>1924</v>
      </c>
      <c r="S68" s="3">
        <v>87314</v>
      </c>
      <c r="T68" s="3">
        <v>76399</v>
      </c>
      <c r="U68" s="3">
        <v>51842</v>
      </c>
      <c r="V68" s="3">
        <v>40928</v>
      </c>
      <c r="W68" s="3">
        <v>5457</v>
      </c>
      <c r="X68" s="3">
        <v>10915</v>
      </c>
      <c r="Y68" s="4">
        <f t="shared" si="2"/>
        <v>272855</v>
      </c>
    </row>
    <row r="69" spans="1:25" x14ac:dyDescent="0.25">
      <c r="Y69" s="4"/>
    </row>
  </sheetData>
  <mergeCells count="4">
    <mergeCell ref="S1:X1"/>
    <mergeCell ref="L1:Q1"/>
    <mergeCell ref="E1:J1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Atenaga</dc:creator>
  <cp:lastModifiedBy>Dr. Frederick Atenaga</cp:lastModifiedBy>
  <dcterms:created xsi:type="dcterms:W3CDTF">2023-10-09T22:11:35Z</dcterms:created>
  <dcterms:modified xsi:type="dcterms:W3CDTF">2024-11-30T10:14:11Z</dcterms:modified>
</cp:coreProperties>
</file>