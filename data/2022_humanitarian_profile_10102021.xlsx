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naga\Documents\FBup_25072019\Desktop_Old\HNO_HRP_2022\Pop_Stats\HDX_2021\"/>
    </mc:Choice>
  </mc:AlternateContent>
  <xr:revisionPtr revIDLastSave="0" documentId="13_ncr:1_{D7317986-50E9-4D47-8FF6-DE6C4DA24F10}" xr6:coauthVersionLast="46" xr6:coauthVersionMax="46" xr10:uidLastSave="{00000000-0000-0000-0000-000000000000}"/>
  <bookViews>
    <workbookView xWindow="38280" yWindow="-120" windowWidth="29040" windowHeight="15840" xr2:uid="{ABCD7072-1384-4365-A573-7C60B66638BF}"/>
  </bookViews>
  <sheets>
    <sheet name="thePopulationData" sheetId="1" r:id="rId1"/>
  </sheets>
  <definedNames>
    <definedName name="_xlnm._FilterDatabase" localSheetId="0" hidden="1">thePopulationData!$A$1:$J$1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1" l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<sst xmlns="http://schemas.openxmlformats.org/spreadsheetml/2006/main" count="215" uniqueCount="153">
  <si>
    <t>STATE</t>
  </si>
  <si>
    <t>LGA</t>
  </si>
  <si>
    <t>PCODE</t>
  </si>
  <si>
    <t>Total Population</t>
  </si>
  <si>
    <t>IDPs</t>
  </si>
  <si>
    <t>In Camp</t>
  </si>
  <si>
    <t>In HC</t>
  </si>
  <si>
    <t>Returnees</t>
  </si>
  <si>
    <t>Host Community</t>
  </si>
  <si>
    <t>Inaccessible</t>
  </si>
  <si>
    <t>Adamawa</t>
  </si>
  <si>
    <t>Demsa</t>
  </si>
  <si>
    <t>NG002001</t>
  </si>
  <si>
    <t>Fufore</t>
  </si>
  <si>
    <t>NG002002</t>
  </si>
  <si>
    <t>Ganye</t>
  </si>
  <si>
    <t>NG002003</t>
  </si>
  <si>
    <t>Girei</t>
  </si>
  <si>
    <t>NG002005</t>
  </si>
  <si>
    <t>Gombi</t>
  </si>
  <si>
    <t>NG002004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</si>
  <si>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</si>
  <si>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</si>
  <si>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</si>
  <si>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</si>
  <si>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</si>
  <si>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</si>
  <si>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</si>
  <si>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</si>
  <si>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</si>
  <si>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</si>
  <si>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</si>
  <si>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</si>
  <si>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</si>
  <si>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</si>
  <si>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</si>
  <si>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</si>
  <si>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</si>
  <si>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</si>
  <si>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</si>
  <si>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</si>
  <si>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</si>
  <si>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</si>
  <si>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</si>
  <si>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</si>
  <si>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</si>
  <si>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</si>
  <si>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</si>
  <si>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</si>
  <si>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</si>
  <si>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</si>
  <si>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</si>
  <si>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</si>
  <si>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</si>
  <si>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</si>
  <si>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</si>
  <si>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</si>
  <si>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</si>
  <si>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</si>
  <si>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</si>
  <si>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</si>
  <si>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</si>
  <si>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</si>
  <si>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</si>
  <si>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</si>
  <si>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</si>
  <si>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</si>
  <si>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</si>
  <si>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</si>
  <si>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</si>
  <si>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</si>
  <si>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</si>
  <si>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</si>
  <si>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</si>
  <si>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</si>
  <si>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</si>
  <si>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</si>
  <si>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</si>
  <si>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</si>
  <si>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</si>
  <si>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</si>
  <si>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</si>
  <si>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</si>
  <si>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</si>
  <si>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</si>
  <si>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</si>
  <si>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</si>
  <si>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</si>
  <si>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</si>
  <si>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</si>
  <si>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</si>
  <si>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</si>
  <si>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</si>
  <si>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</si>
  <si>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</si>
  <si>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</si>
  <si>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</si>
  <si>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</si>
  <si>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</si>
  <si>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</si>
  <si>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</si>
  <si>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</si>
  <si>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</si>
  <si>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</si>
  <si>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</si>
  <si>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</si>
  <si>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</si>
  <si>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</si>
  <si>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</si>
  <si>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</si>
  <si>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</si>
  <si>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</si>
  <si>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</si>
  <si>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</si>
  <si>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</si>
  <si>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</si>
  <si>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</si>
  <si>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</si>
  <si>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</si>
  <si>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</si>
  <si>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</si>
  <si>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</si>
  <si>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</si>
  <si>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</si>
  <si>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</si>
  <si>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</si>
  <si>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</si>
  <si>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</si>
  <si>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</si>
  <si>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</si>
  <si>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</si>
  <si>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</si>
  <si>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</si>
  <si>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</si>
  <si>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</si>
  <si>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</si>
  <si>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</si>
  <si>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</si>
  <si>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</si>
  <si>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</si>
  <si>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</si>
  <si>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</si>
  <si>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</si>
  <si>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#state</t>
  </si>
  <si>
    <t>#lga</t>
  </si>
  <si>
    <t>#adm2+code</t>
  </si>
  <si>
    <t>#pop</t>
  </si>
  <si>
    <t>#idps</t>
  </si>
  <si>
    <t>#incamp</t>
  </si>
  <si>
    <t>#inhc</t>
  </si>
  <si>
    <t>#ret</t>
  </si>
  <si>
    <t>#hc</t>
  </si>
  <si>
    <t>#ina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</si>
</sst>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2" applyFont="1" applyFill="1" applyBorder="1"/>
    <xf numFmtId="0" fontId="3" fillId="3" borderId="1" xfId="2" applyFont="1" applyFill="1" applyBorder="1"/>
    <xf numFmtId="0" fontId="3" fillId="4" borderId="1" xfId="2" applyFont="1" applyFill="1" applyBorder="1"/>
    <xf numFmtId="0" fontId="3" fillId="5" borderId="1" xfId="2" applyFont="1" applyFill="1" applyBorder="1"/>
    <xf numFmtId="0" fontId="3" fillId="6" borderId="1" xfId="2" applyFont="1" applyFill="1" applyBorder="1"/>
    <xf numFmtId="0" fontId="3" fillId="7" borderId="1" xfId="2" applyFont="1" applyFill="1" applyBorder="1"/>
    <xf numFmtId="0" fontId="1" fillId="0" borderId="0" xfId="2"/>
    <xf numFmtId="0" fontId="1" fillId="0" borderId="1" xfId="2" applyBorder="1"/>
    <xf numFmtId="164" fontId="0" fillId="0" borderId="1" xfId="3" applyNumberFormat="1" applyFont="1" applyBorder="1"/>
    <xf numFmtId="164" fontId="0" fillId="4" borderId="1" xfId="3" applyNumberFormat="1" applyFont="1" applyFill="1" applyBorder="1"/>
    <xf numFmtId="0" fontId="1" fillId="7" borderId="1" xfId="2" applyFill="1" applyBorder="1"/>
    <xf numFmtId="164" fontId="0" fillId="7" borderId="1" xfId="3" applyNumberFormat="1" applyFont="1" applyFill="1" applyBorder="1"/>
    <xf numFmtId="164" fontId="0" fillId="0" borderId="1" xfId="3" applyNumberFormat="1" applyFont="1" applyFill="1" applyBorder="1"/>
    <xf numFmtId="1" fontId="1" fillId="0" borderId="0" xfId="2" applyNumberFormat="1"/>
    <xf numFmtId="164" fontId="1" fillId="0" borderId="0" xfId="2" applyNumberFormat="1"/>
    <xf numFmtId="164" fontId="2" fillId="0" borderId="0" xfId="1" applyNumberFormat="1" applyFont="1"/>
  </cellXfs>
  <cellStyles count="4">
    <cellStyle name="Comma" xfId="1" builtinId="3"/>
    <cellStyle name="Comma 2" xfId="3" xr:uid="{A4BDABE0-0DE7-492A-A47A-870C95939E3D}"/>
    <cellStyle name="Normal" xfId="0" builtinId="0"/>
    <cellStyle name="Normal 2" xfId="2" xr:uid="{5000ED2C-9831-4518-9A0C-2C49CF616E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5FD5-9455-4205-9EDA-8D3351C21EBE}">
  <dimension ref="A1:K74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x14ac:dyDescent="0.25"/>
  <cols>
    <col min="1" max="2" width="27.5703125" style="7" customWidth="1"/>
    <col min="3" max="3" width="25.140625" style="7" customWidth="1"/>
    <col min="4" max="4" width="26.7109375" style="7" customWidth="1"/>
    <col min="5" max="10" width="27.5703125" style="7" customWidth="1"/>
    <col min="11" max="16384" width="8.7109375" style="7"/>
  </cols>
  <sheetData>
    <row r="1" spans="1:10" ht="30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spans="1:10" ht="30.75" customHeight="1" x14ac:dyDescent="0.3">
      <c r="A2" s="1" t="s">
        <v>143</v>
      </c>
      <c r="B2" s="1" t="s">
        <v>144</v>
      </c>
      <c r="C2" s="1" t="s">
        <v>145</v>
      </c>
      <c r="D2" s="2" t="s">
        <v>146</v>
      </c>
      <c r="E2" s="3" t="s">
        <v>147</v>
      </c>
      <c r="F2" s="3" t="s">
        <v>148</v>
      </c>
      <c r="G2" s="3" t="s">
        <v>149</v>
      </c>
      <c r="H2" s="4" t="s">
        <v>150</v>
      </c>
      <c r="I2" s="5" t="s">
        <v>151</v>
      </c>
      <c r="J2" s="6" t="s">
        <v>152</v>
      </c>
    </row>
    <row r="3" spans="1:10" x14ac:dyDescent="0.25">
      <c r="A3" s="8" t="s">
        <v>10</v>
      </c>
      <c r="B3" s="8" t="s">
        <v>11</v>
      </c>
      <c r="C3" s="8" t="s">
        <v>12</v>
      </c>
      <c r="D3" s="9">
        <f>SUM(F3:J3)</f>
        <v>149085</v>
      </c>
      <c r="E3" s="9">
        <v>16500</v>
      </c>
      <c r="F3" s="10">
        <v>0</v>
      </c>
      <c r="G3" s="10">
        <v>16500</v>
      </c>
      <c r="H3" s="9">
        <v>9966</v>
      </c>
      <c r="I3" s="9">
        <v>122619</v>
      </c>
      <c r="J3" s="9">
        <v>0</v>
      </c>
    </row>
    <row r="4" spans="1:10" x14ac:dyDescent="0.25">
      <c r="A4" s="8" t="s">
        <v>10</v>
      </c>
      <c r="B4" s="8" t="s">
        <v>13</v>
      </c>
      <c r="C4" s="8" t="s">
        <v>14</v>
      </c>
      <c r="D4" s="9">
        <f t="shared" ref="D4:D67" si="0">SUM(F4:J4)</f>
        <v>239980</v>
      </c>
      <c r="E4" s="9">
        <v>7591</v>
      </c>
      <c r="F4" s="10">
        <v>5537</v>
      </c>
      <c r="G4" s="10">
        <v>2054</v>
      </c>
      <c r="H4" s="9">
        <v>0</v>
      </c>
      <c r="I4" s="9">
        <v>232389</v>
      </c>
      <c r="J4" s="9">
        <v>0</v>
      </c>
    </row>
    <row r="5" spans="1:10" x14ac:dyDescent="0.25">
      <c r="A5" s="8" t="s">
        <v>10</v>
      </c>
      <c r="B5" s="8" t="s">
        <v>15</v>
      </c>
      <c r="C5" s="8" t="s">
        <v>16</v>
      </c>
      <c r="D5" s="9">
        <f t="shared" si="0"/>
        <v>192932</v>
      </c>
      <c r="E5" s="9">
        <v>681</v>
      </c>
      <c r="F5" s="10">
        <v>0</v>
      </c>
      <c r="G5" s="10">
        <v>681</v>
      </c>
      <c r="H5" s="9">
        <v>0</v>
      </c>
      <c r="I5" s="9">
        <v>192251</v>
      </c>
      <c r="J5" s="9">
        <v>0</v>
      </c>
    </row>
    <row r="6" spans="1:10" x14ac:dyDescent="0.25">
      <c r="A6" s="8" t="s">
        <v>10</v>
      </c>
      <c r="B6" s="8" t="s">
        <v>17</v>
      </c>
      <c r="C6" s="8" t="s">
        <v>18</v>
      </c>
      <c r="D6" s="9">
        <f t="shared" si="0"/>
        <v>181269</v>
      </c>
      <c r="E6" s="9">
        <v>18517</v>
      </c>
      <c r="F6" s="10">
        <v>4695</v>
      </c>
      <c r="G6" s="10">
        <v>13822</v>
      </c>
      <c r="H6" s="9">
        <v>1186</v>
      </c>
      <c r="I6" s="9">
        <v>161566</v>
      </c>
      <c r="J6" s="9">
        <v>0</v>
      </c>
    </row>
    <row r="7" spans="1:10" x14ac:dyDescent="0.25">
      <c r="A7" s="8" t="s">
        <v>10</v>
      </c>
      <c r="B7" s="8" t="s">
        <v>19</v>
      </c>
      <c r="C7" s="8" t="s">
        <v>20</v>
      </c>
      <c r="D7" s="9">
        <f t="shared" si="0"/>
        <v>200933</v>
      </c>
      <c r="E7" s="9">
        <v>2834</v>
      </c>
      <c r="F7" s="10">
        <v>0</v>
      </c>
      <c r="G7" s="10">
        <v>2834</v>
      </c>
      <c r="H7" s="9">
        <v>65034</v>
      </c>
      <c r="I7" s="9">
        <v>133065</v>
      </c>
      <c r="J7" s="9">
        <v>0</v>
      </c>
    </row>
    <row r="8" spans="1:10" x14ac:dyDescent="0.25">
      <c r="A8" s="8" t="s">
        <v>10</v>
      </c>
      <c r="B8" s="8" t="s">
        <v>21</v>
      </c>
      <c r="C8" s="8" t="s">
        <v>22</v>
      </c>
      <c r="D8" s="9">
        <f t="shared" si="0"/>
        <v>136844</v>
      </c>
      <c r="E8" s="9">
        <v>6074</v>
      </c>
      <c r="F8" s="10">
        <v>528</v>
      </c>
      <c r="G8" s="10">
        <v>5546</v>
      </c>
      <c r="H8" s="9">
        <v>6096</v>
      </c>
      <c r="I8" s="9">
        <v>124674</v>
      </c>
      <c r="J8" s="9">
        <v>0</v>
      </c>
    </row>
    <row r="9" spans="1:10" x14ac:dyDescent="0.25">
      <c r="A9" s="8" t="s">
        <v>10</v>
      </c>
      <c r="B9" s="8" t="s">
        <v>23</v>
      </c>
      <c r="C9" s="8" t="s">
        <v>24</v>
      </c>
      <c r="D9" s="9">
        <f t="shared" si="0"/>
        <v>243062</v>
      </c>
      <c r="E9" s="9">
        <v>4677</v>
      </c>
      <c r="F9" s="10">
        <v>0</v>
      </c>
      <c r="G9" s="10">
        <v>4677</v>
      </c>
      <c r="H9" s="9">
        <v>165072</v>
      </c>
      <c r="I9" s="9">
        <v>73313</v>
      </c>
      <c r="J9" s="9">
        <v>0</v>
      </c>
    </row>
    <row r="10" spans="1:10" x14ac:dyDescent="0.25">
      <c r="A10" s="8" t="s">
        <v>10</v>
      </c>
      <c r="B10" s="8" t="s">
        <v>25</v>
      </c>
      <c r="C10" s="8" t="s">
        <v>26</v>
      </c>
      <c r="D10" s="9">
        <f t="shared" si="0"/>
        <v>197999</v>
      </c>
      <c r="E10" s="9">
        <v>444</v>
      </c>
      <c r="F10" s="10">
        <v>0</v>
      </c>
      <c r="G10" s="10">
        <v>444</v>
      </c>
      <c r="H10" s="9">
        <v>0</v>
      </c>
      <c r="I10" s="9">
        <v>197555</v>
      </c>
      <c r="J10" s="9">
        <v>0</v>
      </c>
    </row>
    <row r="11" spans="1:10" x14ac:dyDescent="0.25">
      <c r="A11" s="8" t="s">
        <v>10</v>
      </c>
      <c r="B11" s="8" t="s">
        <v>27</v>
      </c>
      <c r="C11" s="8" t="s">
        <v>28</v>
      </c>
      <c r="D11" s="9">
        <f t="shared" si="0"/>
        <v>78434</v>
      </c>
      <c r="E11" s="9">
        <v>4590</v>
      </c>
      <c r="F11" s="10">
        <v>0</v>
      </c>
      <c r="G11" s="10">
        <v>4590</v>
      </c>
      <c r="H11" s="9">
        <v>31638</v>
      </c>
      <c r="I11" s="9">
        <v>42206</v>
      </c>
      <c r="J11" s="9">
        <v>0</v>
      </c>
    </row>
    <row r="12" spans="1:10" x14ac:dyDescent="0.25">
      <c r="A12" s="8" t="s">
        <v>10</v>
      </c>
      <c r="B12" s="8" t="s">
        <v>29</v>
      </c>
      <c r="C12" s="8" t="s">
        <v>30</v>
      </c>
      <c r="D12" s="9">
        <f t="shared" si="0"/>
        <v>128433</v>
      </c>
      <c r="E12" s="9">
        <v>17925</v>
      </c>
      <c r="F12" s="10">
        <v>0</v>
      </c>
      <c r="G12" s="10">
        <v>17925</v>
      </c>
      <c r="H12" s="9">
        <v>58157</v>
      </c>
      <c r="I12" s="9">
        <v>42127</v>
      </c>
      <c r="J12" s="9">
        <v>10224</v>
      </c>
    </row>
    <row r="13" spans="1:10" x14ac:dyDescent="0.25">
      <c r="A13" s="8" t="s">
        <v>10</v>
      </c>
      <c r="B13" s="8" t="s">
        <v>31</v>
      </c>
      <c r="C13" s="8" t="s">
        <v>32</v>
      </c>
      <c r="D13" s="9">
        <f t="shared" si="0"/>
        <v>94183</v>
      </c>
      <c r="E13" s="9">
        <v>16542</v>
      </c>
      <c r="F13" s="10">
        <v>415</v>
      </c>
      <c r="G13" s="10">
        <v>16127</v>
      </c>
      <c r="H13" s="9">
        <v>59535</v>
      </c>
      <c r="I13" s="9">
        <v>18106</v>
      </c>
      <c r="J13" s="9">
        <v>0</v>
      </c>
    </row>
    <row r="14" spans="1:10" x14ac:dyDescent="0.25">
      <c r="A14" s="8" t="s">
        <v>10</v>
      </c>
      <c r="B14" s="8" t="s">
        <v>33</v>
      </c>
      <c r="C14" s="8" t="s">
        <v>34</v>
      </c>
      <c r="D14" s="9">
        <f t="shared" si="0"/>
        <v>197335</v>
      </c>
      <c r="E14" s="9">
        <v>1250</v>
      </c>
      <c r="F14" s="10">
        <v>240</v>
      </c>
      <c r="G14" s="10">
        <v>1010</v>
      </c>
      <c r="H14" s="9">
        <v>360</v>
      </c>
      <c r="I14" s="9">
        <v>195725</v>
      </c>
      <c r="J14" s="9">
        <v>0</v>
      </c>
    </row>
    <row r="15" spans="1:10" x14ac:dyDescent="0.25">
      <c r="A15" s="8" t="s">
        <v>10</v>
      </c>
      <c r="B15" s="8" t="s">
        <v>35</v>
      </c>
      <c r="C15" s="8" t="s">
        <v>36</v>
      </c>
      <c r="D15" s="9">
        <f t="shared" si="0"/>
        <v>216331</v>
      </c>
      <c r="E15" s="9">
        <v>24067</v>
      </c>
      <c r="F15" s="10">
        <v>0</v>
      </c>
      <c r="G15" s="10">
        <v>24067</v>
      </c>
      <c r="H15" s="9">
        <v>146854</v>
      </c>
      <c r="I15" s="9">
        <v>24067</v>
      </c>
      <c r="J15" s="9">
        <v>21343</v>
      </c>
    </row>
    <row r="16" spans="1:10" x14ac:dyDescent="0.25">
      <c r="A16" s="8" t="s">
        <v>10</v>
      </c>
      <c r="B16" s="8" t="s">
        <v>37</v>
      </c>
      <c r="C16" s="8" t="s">
        <v>38</v>
      </c>
      <c r="D16" s="9">
        <f t="shared" si="0"/>
        <v>169003</v>
      </c>
      <c r="E16" s="9">
        <v>12833</v>
      </c>
      <c r="F16" s="10">
        <v>0</v>
      </c>
      <c r="G16" s="10">
        <v>12833</v>
      </c>
      <c r="H16" s="9">
        <v>101962</v>
      </c>
      <c r="I16" s="9">
        <v>54208</v>
      </c>
      <c r="J16" s="9">
        <v>0</v>
      </c>
    </row>
    <row r="17" spans="1:11" x14ac:dyDescent="0.25">
      <c r="A17" s="8" t="s">
        <v>10</v>
      </c>
      <c r="B17" s="8" t="s">
        <v>39</v>
      </c>
      <c r="C17" s="8" t="s">
        <v>40</v>
      </c>
      <c r="D17" s="9">
        <f t="shared" si="0"/>
        <v>170740</v>
      </c>
      <c r="E17" s="9">
        <v>6849</v>
      </c>
      <c r="F17" s="10">
        <v>0</v>
      </c>
      <c r="G17" s="10">
        <v>6849</v>
      </c>
      <c r="H17" s="9">
        <v>111791</v>
      </c>
      <c r="I17" s="9">
        <v>52100</v>
      </c>
      <c r="J17" s="9">
        <v>0</v>
      </c>
    </row>
    <row r="18" spans="1:11" x14ac:dyDescent="0.25">
      <c r="A18" s="8" t="s">
        <v>10</v>
      </c>
      <c r="B18" s="8" t="s">
        <v>41</v>
      </c>
      <c r="C18" s="8" t="s">
        <v>42</v>
      </c>
      <c r="D18" s="9">
        <f t="shared" si="0"/>
        <v>81716</v>
      </c>
      <c r="E18" s="9">
        <v>22568</v>
      </c>
      <c r="F18" s="10">
        <v>0</v>
      </c>
      <c r="G18" s="10">
        <v>22568</v>
      </c>
      <c r="H18" s="9">
        <v>27961</v>
      </c>
      <c r="I18" s="9">
        <v>31187</v>
      </c>
      <c r="J18" s="9">
        <v>0</v>
      </c>
    </row>
    <row r="19" spans="1:11" x14ac:dyDescent="0.25">
      <c r="A19" s="8" t="s">
        <v>10</v>
      </c>
      <c r="B19" s="8" t="s">
        <v>43</v>
      </c>
      <c r="C19" s="8" t="s">
        <v>44</v>
      </c>
      <c r="D19" s="9">
        <f t="shared" si="0"/>
        <v>121762</v>
      </c>
      <c r="E19" s="9">
        <v>4252</v>
      </c>
      <c r="F19" s="10">
        <v>0</v>
      </c>
      <c r="G19" s="10">
        <v>4252</v>
      </c>
      <c r="H19" s="9">
        <v>9270</v>
      </c>
      <c r="I19" s="9">
        <v>108240</v>
      </c>
      <c r="J19" s="9">
        <v>0</v>
      </c>
    </row>
    <row r="20" spans="1:11" x14ac:dyDescent="0.25">
      <c r="A20" s="8" t="s">
        <v>10</v>
      </c>
      <c r="B20" s="8" t="s">
        <v>45</v>
      </c>
      <c r="C20" s="8" t="s">
        <v>46</v>
      </c>
      <c r="D20" s="9">
        <f t="shared" si="0"/>
        <v>239863</v>
      </c>
      <c r="E20" s="9">
        <v>2755</v>
      </c>
      <c r="F20" s="10">
        <v>287</v>
      </c>
      <c r="G20" s="10">
        <v>2468</v>
      </c>
      <c r="H20" s="9">
        <v>33891</v>
      </c>
      <c r="I20" s="9">
        <v>203217</v>
      </c>
      <c r="J20" s="9">
        <v>0</v>
      </c>
    </row>
    <row r="21" spans="1:11" x14ac:dyDescent="0.25">
      <c r="A21" s="8" t="s">
        <v>10</v>
      </c>
      <c r="B21" s="8" t="s">
        <v>47</v>
      </c>
      <c r="C21" s="8" t="s">
        <v>48</v>
      </c>
      <c r="D21" s="9">
        <f t="shared" si="0"/>
        <v>49834</v>
      </c>
      <c r="E21" s="9">
        <v>573</v>
      </c>
      <c r="F21" s="10">
        <v>0</v>
      </c>
      <c r="G21" s="10">
        <v>573</v>
      </c>
      <c r="H21" s="9">
        <v>0</v>
      </c>
      <c r="I21" s="9">
        <v>49261</v>
      </c>
      <c r="J21" s="9">
        <v>0</v>
      </c>
    </row>
    <row r="22" spans="1:11" x14ac:dyDescent="0.25">
      <c r="A22" s="8" t="s">
        <v>10</v>
      </c>
      <c r="B22" s="8" t="s">
        <v>49</v>
      </c>
      <c r="C22" s="8" t="s">
        <v>50</v>
      </c>
      <c r="D22" s="9">
        <f t="shared" si="0"/>
        <v>206225</v>
      </c>
      <c r="E22" s="9">
        <v>9733</v>
      </c>
      <c r="F22" s="10">
        <v>77</v>
      </c>
      <c r="G22" s="10">
        <v>9656</v>
      </c>
      <c r="H22" s="9">
        <v>0</v>
      </c>
      <c r="I22" s="9">
        <v>196492</v>
      </c>
      <c r="J22" s="9">
        <v>0</v>
      </c>
    </row>
    <row r="23" spans="1:11" x14ac:dyDescent="0.25">
      <c r="A23" s="8" t="s">
        <v>10</v>
      </c>
      <c r="B23" s="8" t="s">
        <v>51</v>
      </c>
      <c r="C23" s="8" t="s">
        <v>52</v>
      </c>
      <c r="D23" s="9">
        <f t="shared" si="0"/>
        <v>368749</v>
      </c>
      <c r="E23" s="9">
        <v>28067</v>
      </c>
      <c r="F23" s="10">
        <v>6088</v>
      </c>
      <c r="G23" s="10">
        <v>21979</v>
      </c>
      <c r="H23" s="9">
        <v>821</v>
      </c>
      <c r="I23" s="9">
        <v>339861</v>
      </c>
      <c r="J23" s="9">
        <v>0</v>
      </c>
    </row>
    <row r="24" spans="1:11" x14ac:dyDescent="0.25">
      <c r="A24" s="11" t="s">
        <v>53</v>
      </c>
      <c r="B24" s="11" t="s">
        <v>54</v>
      </c>
      <c r="C24" s="11" t="s">
        <v>55</v>
      </c>
      <c r="D24" s="12">
        <f t="shared" si="0"/>
        <v>28496</v>
      </c>
      <c r="E24" s="13">
        <v>0</v>
      </c>
      <c r="F24" s="10">
        <v>0</v>
      </c>
      <c r="G24" s="10">
        <v>0</v>
      </c>
      <c r="H24" s="13">
        <v>0</v>
      </c>
      <c r="I24" s="13">
        <v>0</v>
      </c>
      <c r="J24" s="13">
        <v>28496</v>
      </c>
      <c r="K24" s="14"/>
    </row>
    <row r="25" spans="1:11" x14ac:dyDescent="0.25">
      <c r="A25" s="8" t="s">
        <v>53</v>
      </c>
      <c r="B25" s="8" t="s">
        <v>56</v>
      </c>
      <c r="C25" s="8" t="s">
        <v>57</v>
      </c>
      <c r="D25" s="9">
        <f t="shared" si="0"/>
        <v>280972</v>
      </c>
      <c r="E25" s="13">
        <v>10314</v>
      </c>
      <c r="F25" s="10">
        <v>3168</v>
      </c>
      <c r="G25" s="10">
        <v>7146</v>
      </c>
      <c r="H25" s="13">
        <v>163792</v>
      </c>
      <c r="I25" s="13">
        <v>95650</v>
      </c>
      <c r="J25" s="13">
        <v>11216</v>
      </c>
      <c r="K25" s="14"/>
    </row>
    <row r="26" spans="1:11" x14ac:dyDescent="0.25">
      <c r="A26" s="8" t="s">
        <v>53</v>
      </c>
      <c r="B26" s="8" t="s">
        <v>58</v>
      </c>
      <c r="C26" s="8" t="s">
        <v>59</v>
      </c>
      <c r="D26" s="9">
        <f t="shared" si="0"/>
        <v>250440</v>
      </c>
      <c r="E26" s="13">
        <v>84620</v>
      </c>
      <c r="F26" s="10">
        <v>40766</v>
      </c>
      <c r="G26" s="10">
        <v>43854</v>
      </c>
      <c r="H26" s="13">
        <v>34073</v>
      </c>
      <c r="I26" s="13">
        <v>23577</v>
      </c>
      <c r="J26" s="13">
        <v>108170</v>
      </c>
      <c r="K26" s="14"/>
    </row>
    <row r="27" spans="1:11" x14ac:dyDescent="0.25">
      <c r="A27" s="8" t="s">
        <v>53</v>
      </c>
      <c r="B27" s="8" t="s">
        <v>60</v>
      </c>
      <c r="C27" s="8" t="s">
        <v>61</v>
      </c>
      <c r="D27" s="9">
        <f t="shared" si="0"/>
        <v>168993</v>
      </c>
      <c r="E27" s="13">
        <v>1182</v>
      </c>
      <c r="F27" s="10">
        <v>0</v>
      </c>
      <c r="G27" s="10">
        <v>1182</v>
      </c>
      <c r="H27" s="13">
        <v>2858</v>
      </c>
      <c r="I27" s="13">
        <v>164953</v>
      </c>
      <c r="J27" s="13">
        <v>0</v>
      </c>
      <c r="K27" s="14"/>
    </row>
    <row r="28" spans="1:11" x14ac:dyDescent="0.25">
      <c r="A28" s="8" t="s">
        <v>53</v>
      </c>
      <c r="B28" s="8" t="s">
        <v>62</v>
      </c>
      <c r="C28" s="8" t="s">
        <v>63</v>
      </c>
      <c r="D28" s="9">
        <f t="shared" si="0"/>
        <v>289776</v>
      </c>
      <c r="E28" s="13">
        <v>42229</v>
      </c>
      <c r="F28" s="10">
        <v>1964</v>
      </c>
      <c r="G28" s="10">
        <v>40265</v>
      </c>
      <c r="H28" s="13">
        <v>9927</v>
      </c>
      <c r="I28" s="13">
        <v>226213</v>
      </c>
      <c r="J28" s="13">
        <v>11407</v>
      </c>
      <c r="K28" s="14"/>
    </row>
    <row r="29" spans="1:11" x14ac:dyDescent="0.25">
      <c r="A29" s="8" t="s">
        <v>53</v>
      </c>
      <c r="B29" s="8" t="s">
        <v>64</v>
      </c>
      <c r="C29" s="8" t="s">
        <v>65</v>
      </c>
      <c r="D29" s="9">
        <f t="shared" si="0"/>
        <v>118923</v>
      </c>
      <c r="E29" s="13">
        <v>14173</v>
      </c>
      <c r="F29" s="10">
        <v>326</v>
      </c>
      <c r="G29" s="10">
        <v>13847</v>
      </c>
      <c r="H29" s="13">
        <v>29105</v>
      </c>
      <c r="I29" s="13">
        <v>70455</v>
      </c>
      <c r="J29" s="13">
        <v>5190</v>
      </c>
      <c r="K29" s="14"/>
    </row>
    <row r="30" spans="1:11" x14ac:dyDescent="0.25">
      <c r="A30" s="8" t="s">
        <v>53</v>
      </c>
      <c r="B30" s="8" t="s">
        <v>66</v>
      </c>
      <c r="C30" s="8" t="s">
        <v>67</v>
      </c>
      <c r="D30" s="9">
        <f t="shared" si="0"/>
        <v>191257</v>
      </c>
      <c r="E30" s="13">
        <v>104938</v>
      </c>
      <c r="F30" s="10">
        <v>28631</v>
      </c>
      <c r="G30" s="10">
        <v>76307</v>
      </c>
      <c r="H30" s="13">
        <v>32362</v>
      </c>
      <c r="I30" s="13">
        <v>30170</v>
      </c>
      <c r="J30" s="13">
        <v>23787</v>
      </c>
      <c r="K30" s="14"/>
    </row>
    <row r="31" spans="1:11" x14ac:dyDescent="0.25">
      <c r="A31" s="8" t="s">
        <v>53</v>
      </c>
      <c r="B31" s="8" t="s">
        <v>68</v>
      </c>
      <c r="C31" s="8" t="s">
        <v>69</v>
      </c>
      <c r="D31" s="9">
        <f t="shared" si="0"/>
        <v>139023</v>
      </c>
      <c r="E31" s="13">
        <v>78333</v>
      </c>
      <c r="F31" s="10">
        <v>62944</v>
      </c>
      <c r="G31" s="10">
        <v>15389</v>
      </c>
      <c r="H31" s="13">
        <v>21302</v>
      </c>
      <c r="I31" s="13">
        <v>15389</v>
      </c>
      <c r="J31" s="13">
        <v>23999</v>
      </c>
      <c r="K31" s="14"/>
    </row>
    <row r="32" spans="1:11" x14ac:dyDescent="0.25">
      <c r="A32" s="8" t="s">
        <v>53</v>
      </c>
      <c r="B32" s="8" t="s">
        <v>70</v>
      </c>
      <c r="C32" s="8" t="s">
        <v>71</v>
      </c>
      <c r="D32" s="9">
        <f t="shared" si="0"/>
        <v>172822</v>
      </c>
      <c r="E32" s="13">
        <v>9281</v>
      </c>
      <c r="F32" s="10">
        <v>1141</v>
      </c>
      <c r="G32" s="10">
        <v>8140</v>
      </c>
      <c r="H32" s="13">
        <v>24870</v>
      </c>
      <c r="I32" s="13">
        <v>55456</v>
      </c>
      <c r="J32" s="13">
        <v>83215</v>
      </c>
      <c r="K32" s="14"/>
    </row>
    <row r="33" spans="1:11" x14ac:dyDescent="0.25">
      <c r="A33" s="11" t="s">
        <v>53</v>
      </c>
      <c r="B33" s="11" t="s">
        <v>72</v>
      </c>
      <c r="C33" s="11" t="s">
        <v>73</v>
      </c>
      <c r="D33" s="12">
        <f t="shared" si="0"/>
        <v>42885</v>
      </c>
      <c r="E33" s="13">
        <v>0</v>
      </c>
      <c r="F33" s="10">
        <v>0</v>
      </c>
      <c r="G33" s="10">
        <v>0</v>
      </c>
      <c r="H33" s="13">
        <v>0</v>
      </c>
      <c r="I33" s="13">
        <v>0</v>
      </c>
      <c r="J33" s="13">
        <v>42885</v>
      </c>
      <c r="K33" s="14"/>
    </row>
    <row r="34" spans="1:11" x14ac:dyDescent="0.25">
      <c r="A34" s="8" t="s">
        <v>53</v>
      </c>
      <c r="B34" s="8" t="s">
        <v>74</v>
      </c>
      <c r="C34" s="8" t="s">
        <v>75</v>
      </c>
      <c r="D34" s="9">
        <f t="shared" si="0"/>
        <v>275931</v>
      </c>
      <c r="E34" s="13">
        <v>148778</v>
      </c>
      <c r="F34" s="10">
        <v>54096</v>
      </c>
      <c r="G34" s="10">
        <v>94682</v>
      </c>
      <c r="H34" s="13">
        <v>87423</v>
      </c>
      <c r="I34" s="13">
        <v>16309</v>
      </c>
      <c r="J34" s="13">
        <v>23421</v>
      </c>
      <c r="K34" s="14"/>
    </row>
    <row r="35" spans="1:11" x14ac:dyDescent="0.25">
      <c r="A35" s="8" t="s">
        <v>53</v>
      </c>
      <c r="B35" s="8" t="s">
        <v>76</v>
      </c>
      <c r="C35" s="8" t="s">
        <v>77</v>
      </c>
      <c r="D35" s="9">
        <f t="shared" si="0"/>
        <v>253530</v>
      </c>
      <c r="E35" s="13">
        <v>21616</v>
      </c>
      <c r="F35" s="10">
        <v>0</v>
      </c>
      <c r="G35" s="10">
        <v>21616</v>
      </c>
      <c r="H35" s="13">
        <v>22101</v>
      </c>
      <c r="I35" s="13">
        <v>209813</v>
      </c>
      <c r="J35" s="13">
        <v>0</v>
      </c>
      <c r="K35" s="14"/>
    </row>
    <row r="36" spans="1:11" x14ac:dyDescent="0.25">
      <c r="A36" s="8" t="s">
        <v>53</v>
      </c>
      <c r="B36" s="8" t="s">
        <v>78</v>
      </c>
      <c r="C36" s="8" t="s">
        <v>79</v>
      </c>
      <c r="D36" s="9">
        <f t="shared" si="0"/>
        <v>445390</v>
      </c>
      <c r="E36" s="13">
        <v>297223</v>
      </c>
      <c r="F36" s="10">
        <v>175878</v>
      </c>
      <c r="G36" s="10">
        <v>121345</v>
      </c>
      <c r="H36" s="13">
        <v>5224</v>
      </c>
      <c r="I36" s="13">
        <v>136177</v>
      </c>
      <c r="J36" s="13">
        <v>6766</v>
      </c>
      <c r="K36" s="14"/>
    </row>
    <row r="37" spans="1:11" x14ac:dyDescent="0.25">
      <c r="A37" s="8" t="s">
        <v>53</v>
      </c>
      <c r="B37" s="8" t="s">
        <v>80</v>
      </c>
      <c r="C37" s="8" t="s">
        <v>81</v>
      </c>
      <c r="D37" s="9">
        <f t="shared" si="0"/>
        <v>130899</v>
      </c>
      <c r="E37" s="13">
        <v>22511</v>
      </c>
      <c r="F37" s="10">
        <v>15379</v>
      </c>
      <c r="G37" s="10">
        <v>7132</v>
      </c>
      <c r="H37" s="13">
        <v>35823</v>
      </c>
      <c r="I37" s="13">
        <v>39664</v>
      </c>
      <c r="J37" s="13">
        <v>32901</v>
      </c>
      <c r="K37" s="14"/>
    </row>
    <row r="38" spans="1:11" x14ac:dyDescent="0.25">
      <c r="A38" s="8" t="s">
        <v>53</v>
      </c>
      <c r="B38" s="8" t="s">
        <v>82</v>
      </c>
      <c r="C38" s="8" t="s">
        <v>83</v>
      </c>
      <c r="D38" s="9">
        <f t="shared" si="0"/>
        <v>67674</v>
      </c>
      <c r="E38" s="13">
        <v>37842</v>
      </c>
      <c r="F38" s="10">
        <v>37842</v>
      </c>
      <c r="G38" s="10">
        <v>0</v>
      </c>
      <c r="H38" s="13">
        <v>0</v>
      </c>
      <c r="I38" s="13">
        <v>26575</v>
      </c>
      <c r="J38" s="13">
        <v>3257</v>
      </c>
      <c r="K38" s="14"/>
    </row>
    <row r="39" spans="1:11" x14ac:dyDescent="0.25">
      <c r="A39" s="8" t="s">
        <v>53</v>
      </c>
      <c r="B39" s="8" t="s">
        <v>84</v>
      </c>
      <c r="C39" s="8" t="s">
        <v>85</v>
      </c>
      <c r="D39" s="9">
        <f t="shared" si="0"/>
        <v>277858</v>
      </c>
      <c r="E39" s="13">
        <v>139416</v>
      </c>
      <c r="F39" s="10">
        <v>89540</v>
      </c>
      <c r="G39" s="10">
        <v>49876</v>
      </c>
      <c r="H39" s="13">
        <v>56758</v>
      </c>
      <c r="I39" s="13">
        <v>49876</v>
      </c>
      <c r="J39" s="13">
        <v>31808</v>
      </c>
      <c r="K39" s="14"/>
    </row>
    <row r="40" spans="1:11" x14ac:dyDescent="0.25">
      <c r="A40" s="11" t="s">
        <v>53</v>
      </c>
      <c r="B40" s="11" t="s">
        <v>86</v>
      </c>
      <c r="C40" s="11" t="s">
        <v>87</v>
      </c>
      <c r="D40" s="12">
        <f t="shared" si="0"/>
        <v>16626</v>
      </c>
      <c r="E40" s="13">
        <v>0</v>
      </c>
      <c r="F40" s="10">
        <v>0</v>
      </c>
      <c r="G40" s="10">
        <v>0</v>
      </c>
      <c r="H40" s="13">
        <v>0</v>
      </c>
      <c r="I40" s="13">
        <v>0</v>
      </c>
      <c r="J40" s="13">
        <v>16626</v>
      </c>
      <c r="K40" s="14"/>
    </row>
    <row r="41" spans="1:11" x14ac:dyDescent="0.25">
      <c r="A41" s="8" t="s">
        <v>53</v>
      </c>
      <c r="B41" s="8" t="s">
        <v>88</v>
      </c>
      <c r="C41" s="8" t="s">
        <v>89</v>
      </c>
      <c r="D41" s="9">
        <f t="shared" si="0"/>
        <v>132714</v>
      </c>
      <c r="E41" s="13">
        <v>4679</v>
      </c>
      <c r="F41" s="10">
        <v>0</v>
      </c>
      <c r="G41" s="10">
        <v>4679</v>
      </c>
      <c r="H41" s="13">
        <v>0</v>
      </c>
      <c r="I41" s="13">
        <v>128035</v>
      </c>
      <c r="J41" s="13">
        <v>0</v>
      </c>
      <c r="K41" s="14"/>
    </row>
    <row r="42" spans="1:11" x14ac:dyDescent="0.25">
      <c r="A42" s="8" t="s">
        <v>53</v>
      </c>
      <c r="B42" s="8" t="s">
        <v>90</v>
      </c>
      <c r="C42" s="8" t="s">
        <v>91</v>
      </c>
      <c r="D42" s="9">
        <f t="shared" si="0"/>
        <v>141261</v>
      </c>
      <c r="E42" s="13">
        <v>22459</v>
      </c>
      <c r="F42" s="10">
        <v>20196</v>
      </c>
      <c r="G42" s="10">
        <v>2263</v>
      </c>
      <c r="H42" s="13">
        <v>16343</v>
      </c>
      <c r="I42" s="13">
        <v>79462</v>
      </c>
      <c r="J42" s="13">
        <v>22997</v>
      </c>
      <c r="K42" s="14"/>
    </row>
    <row r="43" spans="1:11" x14ac:dyDescent="0.25">
      <c r="A43" s="8" t="s">
        <v>53</v>
      </c>
      <c r="B43" s="8" t="s">
        <v>92</v>
      </c>
      <c r="C43" s="8" t="s">
        <v>93</v>
      </c>
      <c r="D43" s="9">
        <f t="shared" si="0"/>
        <v>270824</v>
      </c>
      <c r="E43" s="13">
        <v>34077</v>
      </c>
      <c r="F43" s="10">
        <v>12667</v>
      </c>
      <c r="G43" s="10">
        <v>21410</v>
      </c>
      <c r="H43" s="13">
        <v>10327</v>
      </c>
      <c r="I43" s="13">
        <v>99273</v>
      </c>
      <c r="J43" s="13">
        <v>127147</v>
      </c>
      <c r="K43" s="14"/>
    </row>
    <row r="44" spans="1:11" x14ac:dyDescent="0.25">
      <c r="A44" s="8" t="s">
        <v>53</v>
      </c>
      <c r="B44" s="8" t="s">
        <v>94</v>
      </c>
      <c r="C44" s="8" t="s">
        <v>95</v>
      </c>
      <c r="D44" s="9">
        <f t="shared" si="0"/>
        <v>635562</v>
      </c>
      <c r="E44" s="13">
        <v>300142</v>
      </c>
      <c r="F44" s="10">
        <v>114701</v>
      </c>
      <c r="G44" s="10">
        <v>185441</v>
      </c>
      <c r="H44" s="13">
        <v>0</v>
      </c>
      <c r="I44" s="13">
        <v>335420</v>
      </c>
      <c r="J44" s="13">
        <v>0</v>
      </c>
      <c r="K44" s="14"/>
    </row>
    <row r="45" spans="1:11" x14ac:dyDescent="0.25">
      <c r="A45" s="11" t="s">
        <v>53</v>
      </c>
      <c r="B45" s="11" t="s">
        <v>96</v>
      </c>
      <c r="C45" s="11" t="s">
        <v>97</v>
      </c>
      <c r="D45" s="12">
        <f t="shared" si="0"/>
        <v>4305</v>
      </c>
      <c r="E45" s="13">
        <v>0</v>
      </c>
      <c r="F45" s="10">
        <v>0</v>
      </c>
      <c r="G45" s="10">
        <v>0</v>
      </c>
      <c r="H45" s="13">
        <v>0</v>
      </c>
      <c r="I45" s="13">
        <v>0</v>
      </c>
      <c r="J45" s="13">
        <v>4305</v>
      </c>
      <c r="K45" s="14"/>
    </row>
    <row r="46" spans="1:11" x14ac:dyDescent="0.25">
      <c r="A46" s="8" t="s">
        <v>53</v>
      </c>
      <c r="B46" s="8" t="s">
        <v>98</v>
      </c>
      <c r="C46" s="8" t="s">
        <v>99</v>
      </c>
      <c r="D46" s="9">
        <f t="shared" si="0"/>
        <v>192499</v>
      </c>
      <c r="E46" s="13">
        <v>14599</v>
      </c>
      <c r="F46" s="10">
        <v>5428</v>
      </c>
      <c r="G46" s="10">
        <v>9171</v>
      </c>
      <c r="H46" s="13">
        <v>41238</v>
      </c>
      <c r="I46" s="13">
        <v>41719</v>
      </c>
      <c r="J46" s="13">
        <v>94943</v>
      </c>
    </row>
    <row r="47" spans="1:11" x14ac:dyDescent="0.25">
      <c r="A47" s="8" t="s">
        <v>53</v>
      </c>
      <c r="B47" s="8" t="s">
        <v>100</v>
      </c>
      <c r="C47" s="8" t="s">
        <v>101</v>
      </c>
      <c r="D47" s="9">
        <f t="shared" si="0"/>
        <v>243827</v>
      </c>
      <c r="E47" s="13">
        <v>152191</v>
      </c>
      <c r="F47" s="10">
        <v>114619</v>
      </c>
      <c r="G47" s="10">
        <v>37572</v>
      </c>
      <c r="H47" s="13">
        <v>43026</v>
      </c>
      <c r="I47" s="13">
        <v>37572</v>
      </c>
      <c r="J47" s="13">
        <v>11038</v>
      </c>
    </row>
    <row r="48" spans="1:11" x14ac:dyDescent="0.25">
      <c r="A48" s="8" t="s">
        <v>53</v>
      </c>
      <c r="B48" s="8" t="s">
        <v>102</v>
      </c>
      <c r="C48" s="8" t="s">
        <v>103</v>
      </c>
      <c r="D48" s="9">
        <f t="shared" si="0"/>
        <v>219380</v>
      </c>
      <c r="E48" s="13">
        <v>89998</v>
      </c>
      <c r="F48" s="10">
        <v>75811</v>
      </c>
      <c r="G48" s="10">
        <v>14187</v>
      </c>
      <c r="H48" s="13">
        <v>104043</v>
      </c>
      <c r="I48" s="13">
        <v>14187</v>
      </c>
      <c r="J48" s="13">
        <v>11152</v>
      </c>
    </row>
    <row r="49" spans="1:10" x14ac:dyDescent="0.25">
      <c r="A49" s="8" t="s">
        <v>53</v>
      </c>
      <c r="B49" s="8" t="s">
        <v>104</v>
      </c>
      <c r="C49" s="8" t="s">
        <v>105</v>
      </c>
      <c r="D49" s="9">
        <f t="shared" si="0"/>
        <v>143930</v>
      </c>
      <c r="E49" s="13">
        <v>0</v>
      </c>
      <c r="F49" s="10">
        <v>0</v>
      </c>
      <c r="G49" s="10">
        <v>0</v>
      </c>
      <c r="H49" s="13">
        <v>0</v>
      </c>
      <c r="I49" s="13">
        <v>98223</v>
      </c>
      <c r="J49" s="13">
        <v>45707</v>
      </c>
    </row>
    <row r="50" spans="1:10" x14ac:dyDescent="0.25">
      <c r="A50" s="8" t="s">
        <v>53</v>
      </c>
      <c r="B50" s="8" t="s">
        <v>106</v>
      </c>
      <c r="C50" s="8" t="s">
        <v>107</v>
      </c>
      <c r="D50" s="9">
        <f t="shared" si="0"/>
        <v>229340</v>
      </c>
      <c r="E50" s="13">
        <v>3228</v>
      </c>
      <c r="F50" s="10">
        <v>0</v>
      </c>
      <c r="G50" s="10">
        <v>3228</v>
      </c>
      <c r="H50" s="13">
        <v>0</v>
      </c>
      <c r="I50" s="13">
        <v>226112</v>
      </c>
      <c r="J50" s="13">
        <v>0</v>
      </c>
    </row>
    <row r="51" spans="1:10" x14ac:dyDescent="0.25">
      <c r="A51" s="8" t="s">
        <v>108</v>
      </c>
      <c r="B51" s="8" t="s">
        <v>109</v>
      </c>
      <c r="C51" s="8" t="s">
        <v>110</v>
      </c>
      <c r="D51" s="9">
        <f t="shared" si="0"/>
        <v>164042</v>
      </c>
      <c r="E51" s="9">
        <v>28274</v>
      </c>
      <c r="F51" s="10">
        <v>1018</v>
      </c>
      <c r="G51" s="10">
        <v>27256</v>
      </c>
      <c r="H51" s="9">
        <v>0</v>
      </c>
      <c r="I51" s="9">
        <v>135768</v>
      </c>
      <c r="J51" s="9">
        <v>0</v>
      </c>
    </row>
    <row r="52" spans="1:10" x14ac:dyDescent="0.25">
      <c r="A52" s="8" t="s">
        <v>108</v>
      </c>
      <c r="B52" s="8" t="s">
        <v>111</v>
      </c>
      <c r="C52" s="8" t="s">
        <v>112</v>
      </c>
      <c r="D52" s="9">
        <f t="shared" si="0"/>
        <v>137132</v>
      </c>
      <c r="E52" s="9">
        <v>6328</v>
      </c>
      <c r="F52" s="10">
        <v>0</v>
      </c>
      <c r="G52" s="10">
        <v>6328</v>
      </c>
      <c r="H52" s="9">
        <v>0</v>
      </c>
      <c r="I52" s="9">
        <v>109612</v>
      </c>
      <c r="J52" s="9">
        <v>21192</v>
      </c>
    </row>
    <row r="53" spans="1:10" x14ac:dyDescent="0.25">
      <c r="A53" s="8" t="s">
        <v>108</v>
      </c>
      <c r="B53" s="8" t="s">
        <v>113</v>
      </c>
      <c r="C53" s="8" t="s">
        <v>114</v>
      </c>
      <c r="D53" s="9">
        <f t="shared" si="0"/>
        <v>262988</v>
      </c>
      <c r="E53" s="9">
        <v>30469</v>
      </c>
      <c r="F53" s="10">
        <v>12210</v>
      </c>
      <c r="G53" s="10">
        <v>18259</v>
      </c>
      <c r="H53" s="9">
        <v>5295</v>
      </c>
      <c r="I53" s="9">
        <v>227224</v>
      </c>
      <c r="J53" s="9">
        <v>0</v>
      </c>
    </row>
    <row r="54" spans="1:10" x14ac:dyDescent="0.25">
      <c r="A54" s="8" t="s">
        <v>108</v>
      </c>
      <c r="B54" s="8" t="s">
        <v>115</v>
      </c>
      <c r="C54" s="8" t="s">
        <v>116</v>
      </c>
      <c r="D54" s="9">
        <f t="shared" si="0"/>
        <v>224548</v>
      </c>
      <c r="E54" s="9">
        <v>5331</v>
      </c>
      <c r="F54" s="10">
        <v>0</v>
      </c>
      <c r="G54" s="10">
        <v>5331</v>
      </c>
      <c r="H54" s="9">
        <v>0</v>
      </c>
      <c r="I54" s="9">
        <v>219217</v>
      </c>
      <c r="J54" s="9">
        <v>0</v>
      </c>
    </row>
    <row r="55" spans="1:10" x14ac:dyDescent="0.25">
      <c r="A55" s="8" t="s">
        <v>108</v>
      </c>
      <c r="B55" s="8" t="s">
        <v>117</v>
      </c>
      <c r="C55" s="8" t="s">
        <v>118</v>
      </c>
      <c r="D55" s="9">
        <f t="shared" si="0"/>
        <v>279803</v>
      </c>
      <c r="E55" s="9">
        <v>4366</v>
      </c>
      <c r="F55" s="10">
        <v>388</v>
      </c>
      <c r="G55" s="10">
        <v>3978</v>
      </c>
      <c r="H55" s="9">
        <v>0</v>
      </c>
      <c r="I55" s="9">
        <v>275437</v>
      </c>
      <c r="J55" s="9">
        <v>0</v>
      </c>
    </row>
    <row r="56" spans="1:10" x14ac:dyDescent="0.25">
      <c r="A56" s="8" t="s">
        <v>108</v>
      </c>
      <c r="B56" s="8" t="s">
        <v>119</v>
      </c>
      <c r="C56" s="8" t="s">
        <v>120</v>
      </c>
      <c r="D56" s="9">
        <f t="shared" si="0"/>
        <v>211719</v>
      </c>
      <c r="E56" s="9">
        <v>3784</v>
      </c>
      <c r="F56" s="10">
        <v>0</v>
      </c>
      <c r="G56" s="10">
        <v>3784</v>
      </c>
      <c r="H56" s="9">
        <v>34191</v>
      </c>
      <c r="I56" s="9">
        <v>139320</v>
      </c>
      <c r="J56" s="9">
        <v>34424</v>
      </c>
    </row>
    <row r="57" spans="1:10" x14ac:dyDescent="0.25">
      <c r="A57" s="8" t="s">
        <v>108</v>
      </c>
      <c r="B57" s="8" t="s">
        <v>121</v>
      </c>
      <c r="C57" s="8" t="s">
        <v>122</v>
      </c>
      <c r="D57" s="9">
        <f t="shared" si="0"/>
        <v>232536</v>
      </c>
      <c r="E57" s="9">
        <v>40626</v>
      </c>
      <c r="F57" s="10">
        <v>3274</v>
      </c>
      <c r="G57" s="10">
        <v>37352</v>
      </c>
      <c r="H57" s="9">
        <v>64365</v>
      </c>
      <c r="I57" s="9">
        <v>54396</v>
      </c>
      <c r="J57" s="9">
        <v>73149</v>
      </c>
    </row>
    <row r="58" spans="1:10" x14ac:dyDescent="0.25">
      <c r="A58" s="8" t="s">
        <v>108</v>
      </c>
      <c r="B58" s="8" t="s">
        <v>123</v>
      </c>
      <c r="C58" s="8" t="s">
        <v>124</v>
      </c>
      <c r="D58" s="9">
        <f t="shared" si="0"/>
        <v>208964</v>
      </c>
      <c r="E58" s="9">
        <v>2236</v>
      </c>
      <c r="F58" s="10">
        <v>0</v>
      </c>
      <c r="G58" s="10">
        <v>2236</v>
      </c>
      <c r="H58" s="9">
        <v>72554</v>
      </c>
      <c r="I58" s="9">
        <v>134174</v>
      </c>
      <c r="J58" s="9">
        <v>0</v>
      </c>
    </row>
    <row r="59" spans="1:10" x14ac:dyDescent="0.25">
      <c r="A59" s="8" t="s">
        <v>108</v>
      </c>
      <c r="B59" s="8" t="s">
        <v>125</v>
      </c>
      <c r="C59" s="8" t="s">
        <v>126</v>
      </c>
      <c r="D59" s="9">
        <f t="shared" si="0"/>
        <v>169834</v>
      </c>
      <c r="E59" s="9">
        <v>2191</v>
      </c>
      <c r="F59" s="10">
        <v>0</v>
      </c>
      <c r="G59" s="10">
        <v>2191</v>
      </c>
      <c r="H59" s="9">
        <v>0</v>
      </c>
      <c r="I59" s="9">
        <v>167643</v>
      </c>
      <c r="J59" s="9">
        <v>0</v>
      </c>
    </row>
    <row r="60" spans="1:10" x14ac:dyDescent="0.25">
      <c r="A60" s="8" t="s">
        <v>108</v>
      </c>
      <c r="B60" s="8" t="s">
        <v>127</v>
      </c>
      <c r="C60" s="8" t="s">
        <v>128</v>
      </c>
      <c r="D60" s="9">
        <f t="shared" si="0"/>
        <v>102879</v>
      </c>
      <c r="E60" s="9">
        <v>2138</v>
      </c>
      <c r="F60" s="10">
        <v>0</v>
      </c>
      <c r="G60" s="10">
        <v>2138</v>
      </c>
      <c r="H60" s="9">
        <v>0</v>
      </c>
      <c r="I60" s="9">
        <v>100741</v>
      </c>
      <c r="J60" s="9">
        <v>0</v>
      </c>
    </row>
    <row r="61" spans="1:10" x14ac:dyDescent="0.25">
      <c r="A61" s="8" t="s">
        <v>108</v>
      </c>
      <c r="B61" s="8" t="s">
        <v>129</v>
      </c>
      <c r="C61" s="8" t="s">
        <v>130</v>
      </c>
      <c r="D61" s="9">
        <f t="shared" si="0"/>
        <v>106158</v>
      </c>
      <c r="E61" s="9">
        <v>1355</v>
      </c>
      <c r="F61" s="10">
        <v>0</v>
      </c>
      <c r="G61" s="10">
        <v>1355</v>
      </c>
      <c r="H61" s="9">
        <v>0</v>
      </c>
      <c r="I61" s="9">
        <v>104803</v>
      </c>
      <c r="J61" s="9">
        <v>0</v>
      </c>
    </row>
    <row r="62" spans="1:10" x14ac:dyDescent="0.25">
      <c r="A62" s="8" t="s">
        <v>108</v>
      </c>
      <c r="B62" s="8" t="s">
        <v>131</v>
      </c>
      <c r="C62" s="8" t="s">
        <v>132</v>
      </c>
      <c r="D62" s="9">
        <f t="shared" si="0"/>
        <v>202094</v>
      </c>
      <c r="E62" s="9">
        <v>1590</v>
      </c>
      <c r="F62" s="10">
        <v>0</v>
      </c>
      <c r="G62" s="10">
        <v>1590</v>
      </c>
      <c r="H62" s="9">
        <v>0</v>
      </c>
      <c r="I62" s="9">
        <v>200504</v>
      </c>
      <c r="J62" s="9">
        <v>0</v>
      </c>
    </row>
    <row r="63" spans="1:10" x14ac:dyDescent="0.25">
      <c r="A63" s="8" t="s">
        <v>108</v>
      </c>
      <c r="B63" s="8" t="s">
        <v>133</v>
      </c>
      <c r="C63" s="8" t="s">
        <v>134</v>
      </c>
      <c r="D63" s="9">
        <f t="shared" si="0"/>
        <v>160624</v>
      </c>
      <c r="E63" s="9">
        <v>7721</v>
      </c>
      <c r="F63" s="10">
        <v>284</v>
      </c>
      <c r="G63" s="10">
        <v>7437</v>
      </c>
      <c r="H63" s="9">
        <v>0</v>
      </c>
      <c r="I63" s="9">
        <v>152903</v>
      </c>
      <c r="J63" s="9">
        <v>0</v>
      </c>
    </row>
    <row r="64" spans="1:10" x14ac:dyDescent="0.25">
      <c r="A64" s="8" t="s">
        <v>108</v>
      </c>
      <c r="B64" s="8" t="s">
        <v>135</v>
      </c>
      <c r="C64" s="8" t="s">
        <v>136</v>
      </c>
      <c r="D64" s="9">
        <f t="shared" si="0"/>
        <v>435959</v>
      </c>
      <c r="E64" s="9">
        <v>9798</v>
      </c>
      <c r="F64" s="10">
        <v>283</v>
      </c>
      <c r="G64" s="10">
        <v>9515</v>
      </c>
      <c r="H64" s="9">
        <v>0</v>
      </c>
      <c r="I64" s="9">
        <v>426161</v>
      </c>
      <c r="J64" s="9">
        <v>0</v>
      </c>
    </row>
    <row r="65" spans="1:10" x14ac:dyDescent="0.25">
      <c r="A65" s="8" t="s">
        <v>108</v>
      </c>
      <c r="B65" s="8" t="s">
        <v>137</v>
      </c>
      <c r="C65" s="8" t="s">
        <v>138</v>
      </c>
      <c r="D65" s="9">
        <f t="shared" si="0"/>
        <v>129798</v>
      </c>
      <c r="E65" s="9">
        <v>5281</v>
      </c>
      <c r="F65" s="10">
        <v>0</v>
      </c>
      <c r="G65" s="10">
        <v>5281</v>
      </c>
      <c r="H65" s="9">
        <v>0</v>
      </c>
      <c r="I65" s="9">
        <v>77870</v>
      </c>
      <c r="J65" s="9">
        <v>46647</v>
      </c>
    </row>
    <row r="66" spans="1:10" x14ac:dyDescent="0.25">
      <c r="A66" s="8" t="s">
        <v>108</v>
      </c>
      <c r="B66" s="8" t="s">
        <v>139</v>
      </c>
      <c r="C66" s="8" t="s">
        <v>140</v>
      </c>
      <c r="D66" s="9">
        <f t="shared" si="0"/>
        <v>208197</v>
      </c>
      <c r="E66" s="9">
        <v>8256</v>
      </c>
      <c r="F66" s="10">
        <v>0</v>
      </c>
      <c r="G66" s="10">
        <v>8256</v>
      </c>
      <c r="H66" s="9">
        <v>4971</v>
      </c>
      <c r="I66" s="9">
        <v>152772</v>
      </c>
      <c r="J66" s="9">
        <v>42198</v>
      </c>
    </row>
    <row r="67" spans="1:10" x14ac:dyDescent="0.25">
      <c r="A67" s="8" t="s">
        <v>108</v>
      </c>
      <c r="B67" s="8" t="s">
        <v>141</v>
      </c>
      <c r="C67" s="8" t="s">
        <v>142</v>
      </c>
      <c r="D67" s="9">
        <f t="shared" si="0"/>
        <v>172083</v>
      </c>
      <c r="E67" s="9">
        <v>2650</v>
      </c>
      <c r="F67" s="10">
        <v>0</v>
      </c>
      <c r="G67" s="10">
        <v>2650</v>
      </c>
      <c r="H67" s="9">
        <v>1919</v>
      </c>
      <c r="I67" s="9">
        <v>167514</v>
      </c>
      <c r="J67" s="9">
        <v>0</v>
      </c>
    </row>
    <row r="72" spans="1:10" x14ac:dyDescent="0.25">
      <c r="E72" s="15"/>
    </row>
    <row r="74" spans="1:10" x14ac:dyDescent="0.25">
      <c r="E74" s="16"/>
    </row>
  </sheetData>
  <autoFilter ref="A1:J1" xr:uid="{D550FDA3-553B-41DB-AB8E-E183DF68D384}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thePopulationData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Frederick Atenaga</cp:lastModifiedBy>
  <dcterms:created xsi:type="dcterms:W3CDTF">2021-11-15T11:19:22Z</dcterms:created>
  <dcterms:modified xsi:type="dcterms:W3CDTF">2021-11-15T11:54:05Z</dcterms:modified>
</cp:coreProperties>
</file>